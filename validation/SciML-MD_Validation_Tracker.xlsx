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efect Register" sheetId="2" state="visible" r:id="rId4"/>
    <sheet name="Verification Matrix" sheetId="3" state="visible" r:id="rId5"/>
    <sheet name="Metrics Before-After" sheetId="4" state="visible" r:id="rId6"/>
    <sheet name="MSM Validity L2" sheetId="5" state="visible" r:id="rId7"/>
    <sheet name="External Validation L3" sheetId="6" state="visible" r:id="rId8"/>
    <sheet name="Re-verify Runbook" sheetId="7" state="visible" r:id="rId9"/>
    <sheet name="Open Item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4" authorId="0">
      <text>
        <r>
          <rPr>
            <sz val="10"/>
            <rFont val="Arial"/>
            <family val="2"/>
          </rPr>
          <t xml:space="preserve">Evidence file: validation/numerical_results_BASELINE.json</t>
        </r>
      </text>
    </comment>
  </commentList>
</comments>
</file>

<file path=xl/sharedStrings.xml><?xml version="1.0" encoding="utf-8"?>
<sst xmlns="http://schemas.openxmlformats.org/spreadsheetml/2006/main" count="864" uniqueCount="531">
  <si>
    <t xml:space="preserve">SciML-MD — Validation Tracking Workbook</t>
  </si>
  <si>
    <t xml:space="preserve">Companion to validation/VALIDATION_REPORT.md · branch validation-fixes · campaign 15 Aug 2026</t>
  </si>
  <si>
    <t xml:space="preserve">PURPOSE</t>
  </si>
  <si>
    <t xml:space="preserve">Track every defect found during validation, the test that guards it, and the evidence it stays fixed. Re-run the runbook after any pipeline change.</t>
  </si>
  <si>
    <t xml:space="preserve">TABS</t>
  </si>
  <si>
    <t xml:space="preserve">Defect Register</t>
  </si>
  <si>
    <t xml:space="preserve">All 8 code defects + 3 observations: root cause, measured impact, fix, covering test.</t>
  </si>
  <si>
    <t xml:space="preserve">Verification Matrix</t>
  </si>
  <si>
    <t xml:space="preserve">Test-to-defect traceability. 12 unit tests + 5 validation scripts + 2 regression suites.</t>
  </si>
  <si>
    <t xml:space="preserve">Metrics Before-After</t>
  </si>
  <si>
    <t xml:space="preserve">AUROC/AUPRC baseline vs post-fix. Delta and regression flags are live formulas.</t>
  </si>
  <si>
    <t xml:space="preserve">MSM Validity L2</t>
  </si>
  <si>
    <t xml:space="preserve">Chapman-Kolmogorov, implied timescales, bootstrap CIs, VAMP-2 vs acceptance criteria.</t>
  </si>
  <si>
    <t xml:space="preserve">External Validation L3</t>
  </si>
  <si>
    <t xml:space="preserve">B-factor correlations and baseline-method comparison.</t>
  </si>
  <si>
    <t xml:space="preserve">Re-verify Runbook</t>
  </si>
  <si>
    <t xml:space="preserve">17 ordered steps with exact commands. Fill in Result/Notes/Date.</t>
  </si>
  <si>
    <t xml:space="preserve">Open Items</t>
  </si>
  <si>
    <t xml:space="preserve">Outstanding work, with publication-blocking flags.</t>
  </si>
  <si>
    <t xml:space="preserve">HOW TO RE-VERIFY</t>
  </si>
  <si>
    <t xml:space="preserve">1. Open 'Re-verify Runbook' and work top to bottom.</t>
  </si>
  <si>
    <t xml:space="preserve">2. Record PASS/FAIL in the yellow Result column for each step.</t>
  </si>
  <si>
    <t xml:space="preserve">3. Any FAIL: look up the Defects covered column, find that ID in 'Defect Register', read the root cause and the covering test.</t>
  </si>
  <si>
    <t xml:space="preserve">4. Update 'Status' in the Defect Register to Re-verified (or Regressed) with your name and date.</t>
  </si>
  <si>
    <t xml:space="preserve">5. If metrics changed, paste new values into 'Metrics Before-After' - the Verdict column flags any regression automatically.</t>
  </si>
  <si>
    <t xml:space="preserve">CELL CONVENTIONS</t>
  </si>
  <si>
    <t xml:space="preserve">Yellow fill = for you to fill in.  Green = passing / best result.  Red = failing, at chance, or blocking.  Grey text = notes and sources.</t>
  </si>
  <si>
    <t xml:space="preserve">EVIDENCE FILES</t>
  </si>
  <si>
    <t xml:space="preserve">validation/numerical_results_BASELINE.json · edge_results_BASELINE.json / _POSTFIX.json · rare_case_results_BASELINE.json / _POSTFIX.json · layer2_results.json · layer3_results.json</t>
  </si>
  <si>
    <t xml:space="preserve">FIGURES</t>
  </si>
  <si>
    <t xml:space="preserve">validation/figures/ — 15 PNG (implied timescales, CK panels, pi CIs, VAMP-2 grids)</t>
  </si>
  <si>
    <t xml:space="preserve">FULL REPORT</t>
  </si>
  <si>
    <t xml:space="preserve">validation/SciML-MD_Validation_Report.docx (20 pp) and .pdf</t>
  </si>
  <si>
    <t xml:space="preserve">!! PHASE 1</t>
  </si>
  <si>
    <t xml:space="preserve">Seeded-anomaly test FAILED its pre-registered acceptance criteria (A2): the pipeline is beaten by RMSD-from-mean on structural anomalies, and default smoothing makes it blind to isolated events. See rows P1-1, P1-2, D-09.</t>
  </si>
  <si>
    <t xml:space="preserve">!! ERRATA</t>
  </si>
  <si>
    <t xml:space="preserve">An adversarial re-validation (validation/revalidation.py) corrected three downstream claims - see rows E-1..E-6 in the Defect Register and section 0 of VALIDATION_REPORT.md. Core Layer-1 findings are unaffected. Do NOT cite the baseline comparison as a benchmark win.</t>
  </si>
  <si>
    <t xml:space="preserve">SciML-MD — Defect Register</t>
  </si>
  <si>
    <t xml:space="preserve">Every defect found during the Aug-2026 validation campaign. Branch: validation-fixes. Status column is a dropdown — set to 'Re-verified' after running the covering test.</t>
  </si>
  <si>
    <t xml:space="preserve">ID</t>
  </si>
  <si>
    <t xml:space="preserve">Layer</t>
  </si>
  <si>
    <t xml:space="preserve">Component</t>
  </si>
  <si>
    <t xml:space="preserve">Defect</t>
  </si>
  <si>
    <t xml:space="preserve">Root cause</t>
  </si>
  <si>
    <t xml:space="preserve">Severity</t>
  </si>
  <si>
    <t xml:space="preserve">Measured impact (baseline evidence)</t>
  </si>
  <si>
    <t xml:space="preserve">Fix applied</t>
  </si>
  <si>
    <t xml:space="preserve">Covering test</t>
  </si>
  <si>
    <t xml:space="preserve">Fix verified</t>
  </si>
  <si>
    <t xml:space="preserve">Status</t>
  </si>
  <si>
    <t xml:space="preserve">Verified by</t>
  </si>
  <si>
    <t xml:space="preserve">Date</t>
  </si>
  <si>
    <t xml:space="preserve">D-01</t>
  </si>
  <si>
    <t xml:space="preserve">L1</t>
  </si>
  <si>
    <t xml:space="preserve">scoring/anomaly_v2.py</t>
  </si>
  <si>
    <t xml:space="preserve">Cluster labels never remapped to MSM active set</t>
  </si>
  <si>
    <t xml:space="preserve">deeptime estimates P/pi over largest connected set only; row i = state_symbols[i], not label i</t>
  </si>
  <si>
    <t xml:space="preserve">Critical</t>
  </si>
  <si>
    <t xml:space="preserve">Rarity AUROC 0.45-0.80; buggy-vs-correct Spearman -0.50 (8H0R); 0% overlap in top-10% flagged frames; 1CRN 375/1001 frames read wrong pi row</t>
  </si>
  <si>
    <t xml:space="preserve">remap_dtraj_to_active_set() applied inside compute_kinetic_signals; state_symbols.npy persisted</t>
  </si>
  <si>
    <t xml:space="preserve">test_remap_matches_state_symbols; test_rarity_uses_correct_pi_row; test_surprise_uses_correct_P_entries</t>
  </si>
  <si>
    <t xml:space="preserve">PASS</t>
  </si>
  <si>
    <t xml:space="preserve">Fixed</t>
  </si>
  <si>
    <t xml:space="preserve">D-02</t>
  </si>
  <si>
    <t xml:space="preserve">Rank normalisation broke ties by frame order</t>
  </si>
  <si>
    <t xml:space="preserve">argsort(argsort(x)) assigns distinct ranks to equal values</t>
  </si>
  <si>
    <t xml:space="preserve">High</t>
  </si>
  <si>
    <t xml:space="preserve">Tie groups of 21-410 frames spread across 20.2-42.4 score points by index alone (1CRN: 410 frames = 41% of trajectory)</t>
  </si>
  <si>
    <t xml:space="preserve">Tie-aware average ranks via scipy.stats.rankdata; NaN-aware</t>
  </si>
  <si>
    <t xml:space="preserve">test_tied_values_get_equal_scores; test_tie_spread_is_zero_for_large_tie_group</t>
  </si>
  <si>
    <t xml:space="preserve">D-03</t>
  </si>
  <si>
    <t xml:space="preserve">Transitions touching disconnected states scored 0 (least anomalous)</t>
  </si>
  <si>
    <t xml:space="preserve">Guard clause skipped invalid transitions leaving array default of zero</t>
  </si>
  <si>
    <t xml:space="preserve">Corrected-surprise AUROC 0.02 on 1CRN rare transitions (inverse ranking)</t>
  </si>
  <si>
    <t xml:space="preserve">Capped at max finite surprise; last lag frames set NaN; NaN-aware fusion</t>
  </si>
  <si>
    <t xml:space="preserve">test_disconnected_transition_is_max_surprise_not_zero; test_surprise_tail_is_nan_and_fusion_stays_finite</t>
  </si>
  <si>
    <t xml:space="preserve">D-04</t>
  </si>
  <si>
    <t xml:space="preserve">run_all_proteins.py</t>
  </si>
  <si>
    <t xml:space="preserve">Per-residue scores reduced to pure RMSF</t>
  </si>
  <si>
    <t xml:space="preserve">Blended rmsf_norm with trajectory-MEAN frame score - a constant added to every residue</t>
  </si>
  <si>
    <t xml:space="preserve">Pearson r = 1.0000000000 between published residue scores and raw RMSF (1VII)</t>
  </si>
  <si>
    <t xml:space="preserve">Displacement-weighted anomaly participation blended with RMSF (PARTIAL - see E-1)</t>
  </si>
  <si>
    <t xml:space="preserve">test_residue_scores_not_pure_rmsf; validation/revalidation.py::R1</t>
  </si>
  <si>
    <t xml:space="preserve">PARTIAL</t>
  </si>
  <si>
    <t xml:space="preserve">Partially fixed</t>
  </si>
  <si>
    <t xml:space="preserve">D-05</t>
  </si>
  <si>
    <t xml:space="preserve">Residue keys collided across chains</t>
  </si>
  <si>
    <t xml:space="preserve">Key str(residue) e.g. 'MET41' is not unique in multi-chain proteins</t>
  </si>
  <si>
    <t xml:space="preserve">8H0R: 182 residues -&gt; 91 dict entries; chain A silently overwritten by chain B</t>
  </si>
  <si>
    <t xml:space="preserve">Chain-disambiguated keys (NAME###_chainK) when duplicates occur</t>
  </si>
  <si>
    <t xml:space="preserve">test_residue_keys_do_not_collide_across_chains</t>
  </si>
  <si>
    <t xml:space="preserve">D-06</t>
  </si>
  <si>
    <t xml:space="preserve">tools/export_for_asvs.py</t>
  </si>
  <si>
    <t xml:space="preserve">ASVS export produced constant values</t>
  </si>
  <si>
    <t xml:space="preserve">Read column 'score' (pipeline writes 'score_dynamic'); looked up residues by index (file keyed by name)</t>
  </si>
  <si>
    <t xml:space="preserve">exports/8H0R/anomaly_residue.json = 0.25 for all 182 residues x 100 frames</t>
  </si>
  <si>
    <t xml:space="preserve">Reads score_dynamic (/100); positional residue mapping; pipeline now writes residue_scores_rmsf.json</t>
  </si>
  <si>
    <t xml:space="preserve">test_asvs_export_not_constant</t>
  </si>
  <si>
    <t xml:space="preserve">D-07</t>
  </si>
  <si>
    <t xml:space="preserve">L2</t>
  </si>
  <si>
    <t xml:space="preserve">msm/validation.py</t>
  </si>
  <si>
    <t xml:space="preserve">Chapman-Kolmogorov test compared mismatched state spaces</t>
  </si>
  <si>
    <t xml:space="preserve">P(k*tau) matrices estimated on different active sets compared without remapping</t>
  </si>
  <si>
    <t xml:space="preserve">Test invalid whenever any state pruned - i.e. in every run performed</t>
  </si>
  <si>
    <t xml:space="preserve">Validation runner embeds each MSM into full label space before comparison</t>
  </si>
  <si>
    <t xml:space="preserve">validation/layer2_msm_validity.py::run_ck (executed on 4 systems)</t>
  </si>
  <si>
    <t xml:space="preserve">D-08</t>
  </si>
  <si>
    <t xml:space="preserve">msm/select_lag_and_dim.py</t>
  </si>
  <si>
    <t xml:space="preserve">VAMP-2 scorer numerically unstable on real features</t>
  </si>
  <si>
    <t xml:space="preserve">Cholesky-inverse whitening with reg=1e-6 on ill-conditioned covariances</t>
  </si>
  <si>
    <t xml:space="preserve">Returned 2.5e5 where valid VAMP-2 &lt;= dim (5); correct on random data, which is why mock tests missed it</t>
  </si>
  <si>
    <t xml:space="preserve">Re-scored with deeptime VAMP.score(r=2), 80/20 split; repo values retained for record</t>
  </si>
  <si>
    <t xml:space="preserve">validation/layer2_msm_validity.py::run_vamp2 (executed on 3 systems)</t>
  </si>
  <si>
    <t xml:space="preserve">O-09</t>
  </si>
  <si>
    <t xml:space="preserve">run_all_proteins.py / batch_runner.py</t>
  </si>
  <si>
    <t xml:space="preserve">OBSERVATION: mean frame score ~50 is a normalisation artifact</t>
  </si>
  <si>
    <t xml:space="preserve">Rank normalisation forces uniform [0,1] per signal; fused mean = 0.5 by construction</t>
  </si>
  <si>
    <t xml:space="preserve">Info</t>
  </si>
  <si>
    <t xml:space="preserve">Measured 47.4-50.9 across all systems regardless of protein or dynamics</t>
  </si>
  <si>
    <t xml:space="preserve">Not a defect - documented; must never be reported as a health metric</t>
  </si>
  <si>
    <t xml:space="preserve">Documented in VALIDATION_REPORT.md 2.3 and 8.2</t>
  </si>
  <si>
    <t xml:space="preserve">N/A</t>
  </si>
  <si>
    <t xml:space="preserve">Documented</t>
  </si>
  <si>
    <t xml:space="preserve">O-10</t>
  </si>
  <si>
    <t xml:space="preserve">deeptime KMeans</t>
  </si>
  <si>
    <t xml:space="preserve">OBSERVATION: clustering not reproducible across machines</t>
  </si>
  <si>
    <t xml:space="preserve">deeptime KMeans platform-dependent despite fixed seed</t>
  </si>
  <si>
    <t xml:space="preserve">Medium</t>
  </si>
  <si>
    <t xml:space="preserve">ARI 0.43-0.51 vs reference artifacts; 90/100 frames relabelled; tICA reproduces at r=0.96-0.9996</t>
  </si>
  <si>
    <t xml:space="preserve">Open - recommend deterministic clustering; claims made at score/AUROC level</t>
  </si>
  <si>
    <t xml:space="preserve">validation/baseline_edge_cases.py::cross_machine_reproducibility_1VII_dtraj</t>
  </si>
  <si>
    <t xml:space="preserve">OPEN</t>
  </si>
  <si>
    <t xml:space="preserve">Open</t>
  </si>
  <si>
    <t xml:space="preserve">O-11</t>
  </si>
  <si>
    <t xml:space="preserve">Sampling / trajectory length</t>
  </si>
  <si>
    <t xml:space="preserve">OBSERVATION: 100-frame trajectories cannot support MSM validity claims</t>
  </si>
  <si>
    <t xml:space="preserve">Insufficient sampling: few transitions per state</t>
  </si>
  <si>
    <t xml:space="preserve">CK intervals +/-0.3-0.5 (no power); ITS unconverged (1VII +50%); pi CI 1.1-1.6x the value; VAMP-2 saturates at dim</t>
  </si>
  <si>
    <t xml:space="preserve">Open - regenerate at 50,000-step protocol or use public long-trajectory dataset</t>
  </si>
  <si>
    <t xml:space="preserve">validation/layer2_msm_validity.py (all four systems)</t>
  </si>
  <si>
    <t xml:space="preserve">E-1</t>
  </si>
  <si>
    <t xml:space="preserve">ERRATUM: residue scores still ~99% collinear with RMSF after the D-04 fix</t>
  </si>
  <si>
    <t xml:space="preserve">Displacement-weighted participation is near-constant across residues; RMSF term dominates variance</t>
  </si>
  <si>
    <t xml:space="preserve">Post-fix Pearson r vs RMSF = 0.996 (1VII), 0.990 (8H0R), 0.992 (1UBQ) - was 1.000 pre-fix</t>
  </si>
  <si>
    <t xml:space="preserve">OPEN - residue aggregation needs a genuinely independent anomaly term</t>
  </si>
  <si>
    <t xml:space="preserve">validation/revalidation.py::R1</t>
  </si>
  <si>
    <t xml:space="preserve">E-2</t>
  </si>
  <si>
    <t xml:space="preserve">L3</t>
  </si>
  <si>
    <t xml:space="preserve">validation/layer3_external.py</t>
  </si>
  <si>
    <t xml:space="preserve">ERRATUM: B-factor correlation is fully explained by RMSF</t>
  </si>
  <si>
    <t xml:space="preserve">Dynamic score is ~99% RMSF (see E-1), so B-factor agreement carries no anomaly-specific signal</t>
  </si>
  <si>
    <t xml:space="preserve">Partial Spearman(B, score | RMSF) = -0.019 (8H0R), -0.181 (1UBQ) - anomaly component adds nothing</t>
  </si>
  <si>
    <t xml:space="preserve">OPEN - cannot be cited as external validation of the method; validates RMSF only</t>
  </si>
  <si>
    <t xml:space="preserve">validation/revalidation.py::R3</t>
  </si>
  <si>
    <t xml:space="preserve">E-3</t>
  </si>
  <si>
    <t xml:space="preserve">ERRATUM: rare-STATE baseline comparison is circular</t>
  </si>
  <si>
    <t xml:space="preserve">Labels defined from pi (bottom quartile); rarity channel IS 1-pi - detector and label are the same quantity</t>
  </si>
  <si>
    <t xml:space="preserve">Without rarity: 8H0R 0.83 vs LOF 0.93 (LOSES); 1CRN 0.76 vs IsoForest 0.85 (LOSES); 1UBQ 0.69 vs 0.70 (TIES); wins only 1VII</t>
  </si>
  <si>
    <t xml:space="preserve">OPEN - must not be presented as a benchmark win; needs MSM-independent ground truth</t>
  </si>
  <si>
    <t xml:space="preserve">validation/revalidation.py::R4</t>
  </si>
  <si>
    <t xml:space="preserve">E-4</t>
  </si>
  <si>
    <t xml:space="preserve">ERRATUM: rare-TRANSITION 'headline figure' also circular</t>
  </si>
  <si>
    <t xml:space="preserve">surprise = -log P; P row-normalised from the same count matrix that defines the labels</t>
  </si>
  <si>
    <t xml:space="preserve">Spearman(surprise, -transition count) = 0.69 (1UBQ), 0.87 (1CRN)</t>
  </si>
  <si>
    <t xml:space="preserve">OPEN - withdraw as headline benchmark claim</t>
  </si>
  <si>
    <t xml:space="preserve">validation/revalidation.py::R5</t>
  </si>
  <si>
    <t xml:space="preserve">E-5</t>
  </si>
  <si>
    <t xml:space="preserve">validation/layer2_msm_validity.py</t>
  </si>
  <si>
    <t xml:space="preserve">ERRATUM: VAMP-2 saturation attributed to overfitting; actually a degenerate test set</t>
  </si>
  <si>
    <t xml:space="preserve">100 frames -&gt; 20 test frames -&gt; only 5 lagged pairs at lag 15</t>
  </si>
  <si>
    <t xml:space="preserve">Conclusion (cannot justify hyper-parameters) unchanged; stated mechanism was wrong</t>
  </si>
  <si>
    <t xml:space="preserve">Documented - re-run when trajectories are longer</t>
  </si>
  <si>
    <t xml:space="preserve">validation/revalidation.py::R6</t>
  </si>
  <si>
    <t xml:space="preserve">E-6</t>
  </si>
  <si>
    <t xml:space="preserve">Doc</t>
  </si>
  <si>
    <t xml:space="preserve">VALIDATION_REPORT.md 3.5</t>
  </si>
  <si>
    <t xml:space="preserve">ERRATUM: edge-case count stated as 21; actual suite is 25</t>
  </si>
  <si>
    <t xml:space="preserve">Prose written from an earlier draft of the suite</t>
  </si>
  <si>
    <t xml:space="preserve">edge_results_POSTFIX.json contains 25 cases</t>
  </si>
  <si>
    <t xml:space="preserve">Corrected in ERRATA section</t>
  </si>
  <si>
    <t xml:space="preserve">validation/revalidation.py::R7</t>
  </si>
  <si>
    <t xml:space="preserve">D-09</t>
  </si>
  <si>
    <t xml:space="preserve">Default moving-median smoothing erases isolated single-frame anomalies</t>
  </si>
  <si>
    <t xml:space="preserve">moving_median(window=3..5) is applied unconditionally to the fused score</t>
  </si>
  <si>
    <t xml:space="preserve">Phase 1 seeded-anomaly test: scattered-mode AUROC 0.839 unsmoothed vs 0.550 at window=3 (-0.29). The pipeline is blind to transient rare events at default settings</t>
  </si>
  <si>
    <t xml:space="preserve">Smoothing now opt-in: window default 1 (OFF) in run_all_proteins + batch_runner; CSV also carries a reference score_dynamic_smoothed_w5 column</t>
  </si>
  <si>
    <t xml:space="preserve">test_smoothing_is_off_by_default; test_isolated_spike_survives_default_scoring; validation/d09_impact.json</t>
  </si>
  <si>
    <t xml:space="preserve">P1-1</t>
  </si>
  <si>
    <t xml:space="preserve">Method scope</t>
  </si>
  <si>
    <t xml:space="preserve">PHASE 1: pipeline loses to a trivial baseline on seeded structural anomalies</t>
  </si>
  <si>
    <t xml:space="preserve">450 K frames are globally expanded; RMSD-from-mean separates them perfectly</t>
  </si>
  <si>
    <t xml:space="preserve">Burst mode: rmsd_from_mean AUROC 1.000 vs pipeline_fused 0.831. Acceptance criterion A2 FAILED</t>
  </si>
  <si>
    <t xml:space="preserve">OPEN - either restrict claims to kinetic anomalies, or demonstrate added value over RMSD</t>
  </si>
  <si>
    <t xml:space="preserve">validation/phase1_seeded_anomaly.py (5 replicates, pre-registered criteria)</t>
  </si>
  <si>
    <t xml:space="preserve">FAIL</t>
  </si>
  <si>
    <t xml:space="preserve">P1-2</t>
  </si>
  <si>
    <t xml:space="preserve">PHASE 1: transition surprise is BELOW chance on sustained rare states</t>
  </si>
  <si>
    <t xml:space="preserve">Within a contiguous rare-state block, hot-&gt;hot transitions are self-consistent so P is high and surprise LOW</t>
  </si>
  <si>
    <t xml:space="preserve">Burst mode surprise_only AUROC 0.351 (below 0.5 = anti-correlated with truth)</t>
  </si>
  <si>
    <t xml:space="preserve">OPEN - surprise detects state CHANGES, not sustained residence in a rare state</t>
  </si>
  <si>
    <t xml:space="preserve">validation/phase1_seeded_anomaly.py burst mode</t>
  </si>
  <si>
    <t xml:space="preserve">P1-3</t>
  </si>
  <si>
    <t xml:space="preserve">Test design</t>
  </si>
  <si>
    <t xml:space="preserve">PHASE 1 PASSES: null control confirms no splice artefact</t>
  </si>
  <si>
    <t xml:space="preserve">Frames spliced from the same 300 K pool should not be flagged</t>
  </si>
  <si>
    <t xml:space="preserve">Null-control pipeline_fused AUROC 0.402 (band 0.40-0.60). Detectors are responding to physics, not to the splice operation</t>
  </si>
  <si>
    <t xml:space="preserve">No action - validates the test design itself</t>
  </si>
  <si>
    <t xml:space="preserve">validation/phase1_seeded_anomaly.py null mode</t>
  </si>
  <si>
    <t xml:space="preserve">LEGEND</t>
  </si>
  <si>
    <t xml:space="preserve">Yellow cells are for you to fill in when re-verifying. 'Fix verified' = result at time of the Aug-2026 campaign. D-xx = defect, O-xx = observation (not a code defect).</t>
  </si>
  <si>
    <t xml:space="preserve">EXAMPLE ROW -&gt;</t>
  </si>
  <si>
    <t xml:space="preserve">Re-verified</t>
  </si>
  <si>
    <t xml:space="preserve">S. Jethliya</t>
  </si>
  <si>
    <t xml:space="preserve">2026-09-01</t>
  </si>
  <si>
    <t xml:space="preserve">Verification Traceability Matrix — test to defect mapping</t>
  </si>
  <si>
    <t xml:space="preserve">Every automated test, what it proves, and which defect it guards. Run all with: python -m pytest tests/test_production_scoring.py -v</t>
  </si>
  <si>
    <t xml:space="preserve">Test ID</t>
  </si>
  <si>
    <t xml:space="preserve">Test name</t>
  </si>
  <si>
    <t xml:space="preserve">File</t>
  </si>
  <si>
    <t xml:space="preserve">Guards defect</t>
  </si>
  <si>
    <t xml:space="preserve">What it asserts</t>
  </si>
  <si>
    <t xml:space="preserve">Expected result</t>
  </si>
  <si>
    <t xml:space="preserve">Last run</t>
  </si>
  <si>
    <t xml:space="preserve">Result</t>
  </si>
  <si>
    <t xml:space="preserve">Run by</t>
  </si>
  <si>
    <t xml:space="preserve">T-01</t>
  </si>
  <si>
    <t xml:space="preserve">test_remap_matches_state_symbols</t>
  </si>
  <si>
    <t xml:space="preserve">tests/test_production_scoring.py</t>
  </si>
  <si>
    <t xml:space="preserve">Every frame in a surviving state maps to index of its label in state_symbols; dropped states map to -1</t>
  </si>
  <si>
    <t xml:space="preserve">2026-08-15</t>
  </si>
  <si>
    <t xml:space="preserve">T-02</t>
  </si>
  <si>
    <t xml:space="preserve">test_rarity_uses_correct_pi_row</t>
  </si>
  <si>
    <t xml:space="preserve">rarity[t] == 1 - pi[active_index(label_t)] for every frame; disconnected frames == 1.0</t>
  </si>
  <si>
    <t xml:space="preserve">T-03</t>
  </si>
  <si>
    <t xml:space="preserve">test_surprise_uses_correct_P_entries</t>
  </si>
  <si>
    <t xml:space="preserve">surprise[t] == -log P[idx(a), idx(b)] for all valid transitions</t>
  </si>
  <si>
    <t xml:space="preserve">T-04</t>
  </si>
  <si>
    <t xml:space="preserve">test_negative_labels_do_not_wrap_around</t>
  </si>
  <si>
    <t xml:space="preserve">Label -3 treated as invalid (rarity 1.0), not as Python negative index</t>
  </si>
  <si>
    <t xml:space="preserve">T-05</t>
  </si>
  <si>
    <t xml:space="preserve">test_tied_values_get_equal_scores</t>
  </si>
  <si>
    <t xml:space="preserve">Equal inputs receive equal normalised scores; ordering across groups preserved</t>
  </si>
  <si>
    <t xml:space="preserve">T-06</t>
  </si>
  <si>
    <t xml:space="preserve">test_tie_spread_is_zero_for_large_tie_group</t>
  </si>
  <si>
    <t xml:space="preserve">50 tied zeros have peak-to-peak spread of exactly 0 after normalisation</t>
  </si>
  <si>
    <t xml:space="preserve">T-07</t>
  </si>
  <si>
    <t xml:space="preserve">test_rank_normalize_constant_and_empty</t>
  </si>
  <si>
    <t xml:space="preserve">Empty array returns empty; constant array returns all zeros</t>
  </si>
  <si>
    <t xml:space="preserve">T-08</t>
  </si>
  <si>
    <t xml:space="preserve">test_disconnected_transition_is_max_surprise_not_zero</t>
  </si>
  <si>
    <t xml:space="preserve">Transitions touching a pruned state equal the max finite surprise, never 0</t>
  </si>
  <si>
    <t xml:space="preserve">T-09</t>
  </si>
  <si>
    <t xml:space="preserve">test_surprise_tail_is_nan_and_fusion_stays_finite</t>
  </si>
  <si>
    <t xml:space="preserve">Last lag frames are NaN; fused score remains finite and within [0,1]</t>
  </si>
  <si>
    <t xml:space="preserve">T-10</t>
  </si>
  <si>
    <t xml:space="preserve">test_residue_scores_not_pure_rmsf</t>
  </si>
  <si>
    <t xml:space="preserve">Two different frame-score vectors produce different residue scores on identical geometry</t>
  </si>
  <si>
    <t xml:space="preserve">T-11</t>
  </si>
  <si>
    <t xml:space="preserve">2-chain x 2-residue fixture yields 4 dict entries, not 2</t>
  </si>
  <si>
    <t xml:space="preserve">T-12</t>
  </si>
  <si>
    <t xml:space="preserve">Export varies across frames/residues; spot value frame1 x res1 == 0.72 exactly</t>
  </si>
  <si>
    <t xml:space="preserve">S-01</t>
  </si>
  <si>
    <t xml:space="preserve">Numerical validation script</t>
  </si>
  <si>
    <t xml:space="preserve">validation/baseline_numerical.py</t>
  </si>
  <si>
    <t xml:space="preserve">D-01,D-02,D-04</t>
  </si>
  <si>
    <t xml:space="preserve">Quantifies active-set impact, tie spread, residue-vs-RMSF correlation on real proteins</t>
  </si>
  <si>
    <t xml:space="preserve">JSON written</t>
  </si>
  <si>
    <t xml:space="preserve">S-02</t>
  </si>
  <si>
    <t xml:space="preserve">Edge-case suite (25 cases)</t>
  </si>
  <si>
    <t xml:space="preserve">validation/baseline_edge_cases.py</t>
  </si>
  <si>
    <t xml:space="preserve">D-01,D-03</t>
  </si>
  <si>
    <t xml:space="preserve">Short trajectories, disconnected blocks, degenerate inputs, invalid labels against production path</t>
  </si>
  <si>
    <t xml:space="preserve">23 ok / 2 expected fail-fast</t>
  </si>
  <si>
    <t xml:space="preserve">S-03</t>
  </si>
  <si>
    <t xml:space="preserve">Rare-case accuracy</t>
  </si>
  <si>
    <t xml:space="preserve">validation/baseline_rare_case.py</t>
  </si>
  <si>
    <t xml:space="preserve">AUROC/AUPRC of fused + per-channel scores vs operational kinetic labels</t>
  </si>
  <si>
    <t xml:space="preserve">AUROC &gt;= 0.90 rare-state</t>
  </si>
  <si>
    <t xml:space="preserve">S-04</t>
  </si>
  <si>
    <t xml:space="preserve">MSM validity battery</t>
  </si>
  <si>
    <t xml:space="preserve">D-07,D-08,O-11</t>
  </si>
  <si>
    <t xml:space="preserve">CK test, implied timescales, VAMP-2 grid, block-bootstrap CIs + 15 figures</t>
  </si>
  <si>
    <t xml:space="preserve">JSON + figures written</t>
  </si>
  <si>
    <t xml:space="preserve">S-05</t>
  </si>
  <si>
    <t xml:space="preserve">External validation</t>
  </si>
  <si>
    <t xml:space="preserve">D-04,D-05</t>
  </si>
  <si>
    <t xml:space="preserve">B-factor correlation and baseline-method comparison</t>
  </si>
  <si>
    <t xml:space="preserve">rho &gt;= 0.55 both systems</t>
  </si>
  <si>
    <t xml:space="preserve">T-13</t>
  </si>
  <si>
    <t xml:space="preserve">test_smoothing_is_off_by_default</t>
  </si>
  <si>
    <t xml:space="preserve">compute_anomaly_signals window parameter defaults to 1 (no smoothing)</t>
  </si>
  <si>
    <t xml:space="preserve">2026-08-23</t>
  </si>
  <si>
    <t xml:space="preserve">T-14</t>
  </si>
  <si>
    <t xml:space="preserve">test_isolated_spike_survives_default_scoring</t>
  </si>
  <si>
    <t xml:space="preserve">A single injected tICA outlier remains the top-ranked frame under default settings</t>
  </si>
  <si>
    <t xml:space="preserve">S-06</t>
  </si>
  <si>
    <t xml:space="preserve">Adversarial re-validation</t>
  </si>
  <si>
    <t xml:space="preserve">validation/revalidation.py</t>
  </si>
  <si>
    <t xml:space="preserve">E-1..E-6</t>
  </si>
  <si>
    <t xml:space="preserve">Re-tests the campaign's own conclusions with intent to falsify them</t>
  </si>
  <si>
    <t xml:space="preserve">8 checks; 3 claims corrected</t>
  </si>
  <si>
    <t xml:space="preserve">S-07</t>
  </si>
  <si>
    <t xml:space="preserve">Phase 1 seeded-anomaly recovery</t>
  </si>
  <si>
    <t xml:space="preserve">validation/phase1_seeded_anomaly.py</t>
  </si>
  <si>
    <t xml:space="preserve">P1-1,P1-2,D-09</t>
  </si>
  <si>
    <t xml:space="preserve">MSM-independent ground truth: 450K frames spliced into 300K background, 5 replicates, pre-registered criteria</t>
  </si>
  <si>
    <t xml:space="preserve">A1 PASS, A2 FAIL, A3 PASS</t>
  </si>
  <si>
    <t xml:space="preserve">R-01</t>
  </si>
  <si>
    <t xml:space="preserve">Existing regression suites</t>
  </si>
  <si>
    <t xml:space="preserve">tests/test_signals.py + test_pipeline_edge_cases.py</t>
  </si>
  <si>
    <t xml:space="preserve">-</t>
  </si>
  <si>
    <t xml:space="preserve">Pre-existing suites must not regress after fixes</t>
  </si>
  <si>
    <t xml:space="preserve">31 passed</t>
  </si>
  <si>
    <t xml:space="preserve">R-02</t>
  </si>
  <si>
    <t xml:space="preserve">Integration + reproducibility suites</t>
  </si>
  <si>
    <t xml:space="preserve">tests/test_integration.py + test_reproducibility.py</t>
  </si>
  <si>
    <t xml:space="preserve">9 pass; 1 pre-existing failure (imports run_msm_tica, never migrated from twin repo)</t>
  </si>
  <si>
    <t xml:space="preserve">9 pass / 1 known fail</t>
  </si>
  <si>
    <t xml:space="preserve">KNOWN FAIL</t>
  </si>
  <si>
    <t xml:space="preserve">Summary</t>
  </si>
  <si>
    <t xml:space="preserve">Tests passing:</t>
  </si>
  <si>
    <t xml:space="preserve">Defects with a covering test:</t>
  </si>
  <si>
    <t xml:space="preserve">Detection accuracy — baseline vs post-fix</t>
  </si>
  <si>
    <t xml:space="preserve">AUROC against operational kinetic ground truth. Delta column is a live formula. Re-run validation/baseline_rare_case.py to regenerate.</t>
  </si>
  <si>
    <t xml:space="preserve">System</t>
  </si>
  <si>
    <t xml:space="preserve">Frames</t>
  </si>
  <si>
    <t xml:space="preserve">Task</t>
  </si>
  <si>
    <t xml:space="preserve">Signal</t>
  </si>
  <si>
    <t xml:space="preserve">Baseline AUROC</t>
  </si>
  <si>
    <t xml:space="preserve">Post-fix AUROC</t>
  </si>
  <si>
    <t xml:space="preserve">Delta</t>
  </si>
  <si>
    <t xml:space="preserve">Baseline AUPRC</t>
  </si>
  <si>
    <t xml:space="preserve">Post-fix AUPRC</t>
  </si>
  <si>
    <t xml:space="preserve">Verdict</t>
  </si>
  <si>
    <t xml:space="preserve">1VII</t>
  </si>
  <si>
    <t xml:space="preserve">Rare state</t>
  </si>
  <si>
    <t xml:space="preserve">Fused score</t>
  </si>
  <si>
    <t xml:space="preserve">Rarity channel</t>
  </si>
  <si>
    <t xml:space="preserve">Rare transition</t>
  </si>
  <si>
    <t xml:space="preserve">Surprise channel</t>
  </si>
  <si>
    <t xml:space="preserve">8H0R</t>
  </si>
  <si>
    <t xml:space="preserve">1CRN</t>
  </si>
  <si>
    <t xml:space="preserve">Mean improvement:</t>
  </si>
  <si>
    <t xml:space="preserve">Any regression?</t>
  </si>
  <si>
    <t xml:space="preserve">Rarity-channel rows reaching 1.000 against rare-state labels are circular by construction (both derive from pi) and are a consistency check, not an independent accuracy claim. Headline figures are the fused rows.</t>
  </si>
  <si>
    <t xml:space="preserve">Layer 2 — MSM statistical validity, executed 2026-08-15</t>
  </si>
  <si>
    <t xml:space="preserve">Thresholds are the acceptance criteria for publication. Re-run validation/layer2_msm_validity.py after regenerating longer trajectories.</t>
  </si>
  <si>
    <t xml:space="preserve">CK: frac within 95% CI</t>
  </si>
  <si>
    <t xml:space="preserve">CK: max deviation</t>
  </si>
  <si>
    <t xml:space="preserve">ITS: rel change last step</t>
  </si>
  <si>
    <t xml:space="preserve">Bootstrap: median CI width / pi</t>
  </si>
  <si>
    <t xml:space="preserve">VAMP-2 best score</t>
  </si>
  <si>
    <t xml:space="preserve">VAMP-2 saturated?</t>
  </si>
  <si>
    <t xml:space="preserve">Overall L2 verdict</t>
  </si>
  <si>
    <t xml:space="preserve">YES</t>
  </si>
  <si>
    <t xml:space="preserve">1UBQ</t>
  </si>
  <si>
    <t xml:space="preserve">n/a</t>
  </si>
  <si>
    <t xml:space="preserve">ACCEPTANCE CRITERIA</t>
  </si>
  <si>
    <t xml:space="preserve">Chapman-Kolmogorov</t>
  </si>
  <si>
    <t xml:space="preserve">Fraction within 95% CI &gt;= 0.90 AND intervals narrow enough to be informative</t>
  </si>
  <si>
    <t xml:space="preserve">Implied timescales</t>
  </si>
  <si>
    <t xml:space="preserve">Relative change over final lag step &lt; 0.10 (plateau reached)</t>
  </si>
  <si>
    <t xml:space="preserve">Bootstrap pi</t>
  </si>
  <si>
    <t xml:space="preserve">Median CI width / pi &lt; 0.50 (value resolved to better than +/-50%)</t>
  </si>
  <si>
    <t xml:space="preserve">VAMP-2</t>
  </si>
  <si>
    <t xml:space="preserve">Optimum strictly below the dimension bound (no saturation = no overfitting)</t>
  </si>
  <si>
    <t xml:space="preserve">Layer 3 — external validation against experimental data and baselines</t>
  </si>
  <si>
    <t xml:space="preserve">B-factor correlations use raw RCSB entries. Baseline comparison runs on identical tICA coordinates.</t>
  </si>
  <si>
    <t xml:space="preserve">Block</t>
  </si>
  <si>
    <t xml:space="preserve">Method / detector</t>
  </si>
  <si>
    <t xml:space="preserve">Metric</t>
  </si>
  <si>
    <t xml:space="preserve">Value</t>
  </si>
  <si>
    <t xml:space="preserve">Comparator</t>
  </si>
  <si>
    <t xml:space="preserve">Interpretation</t>
  </si>
  <si>
    <t xml:space="preserve">B-factor</t>
  </si>
  <si>
    <t xml:space="preserve">X-ray 1.20 A (178/182 residues)</t>
  </si>
  <si>
    <t xml:space="preserve">Spearman rho vs dynamic score</t>
  </si>
  <si>
    <t xml:space="preserve">External non-circular evidence that residue scores track crystallographic flexibility</t>
  </si>
  <si>
    <t xml:space="preserve">X-ray 1.20 A</t>
  </si>
  <si>
    <t xml:space="preserve">Spearman rho vs trajectory RMSF</t>
  </si>
  <si>
    <t xml:space="preserve">Dynamic score sits below RMSF as designed - it also carries kinetic-anomaly participation</t>
  </si>
  <si>
    <t xml:space="preserve">X-ray 1.80 A (76/76 residues)</t>
  </si>
  <si>
    <t xml:space="preserve">Independent second X-ray benchmark, consistent magnitude</t>
  </si>
  <si>
    <t xml:space="preserve">X-ray 1.80 A</t>
  </si>
  <si>
    <t xml:space="preserve">NMR</t>
  </si>
  <si>
    <t xml:space="preserve">Excluded by design - NMR carries no meaningful B-factors</t>
  </si>
  <si>
    <t xml:space="preserve">Baseline</t>
  </si>
  <si>
    <t xml:space="preserve">Pipeline fused (ours)</t>
  </si>
  <si>
    <t xml:space="preserve">Rare-state AUROC</t>
  </si>
  <si>
    <t xml:space="preserve">best</t>
  </si>
  <si>
    <t xml:space="preserve">Wins</t>
  </si>
  <si>
    <t xml:space="preserve">Isolation Forest</t>
  </si>
  <si>
    <t xml:space="preserve">Local Outlier Factor</t>
  </si>
  <si>
    <t xml:space="preserve">kNN distance only (ablation)</t>
  </si>
  <si>
    <t xml:space="preserve">Fused beats its own geometric component</t>
  </si>
  <si>
    <t xml:space="preserve">At chance</t>
  </si>
  <si>
    <t xml:space="preserve">Key result</t>
  </si>
  <si>
    <t xml:space="preserve">Rare-transition AUROC</t>
  </si>
  <si>
    <t xml:space="preserve">chance</t>
  </si>
  <si>
    <t xml:space="preserve">Geometric detectors CANNOT see kinetic events</t>
  </si>
  <si>
    <t xml:space="preserve">Pipeline surprise channel</t>
  </si>
  <si>
    <t xml:space="preserve">Core justification for building an MSM - candidate headline figure</t>
  </si>
  <si>
    <t xml:space="preserve">Re-verification runbook</t>
  </si>
  <si>
    <t xml:space="preserve">Run top to bottom to reconfirm every fix. Fill the yellow columns. Any FAIL means a fix regressed - check the defect ID in the Defect Register.</t>
  </si>
  <si>
    <t xml:space="preserve">Step</t>
  </si>
  <si>
    <t xml:space="preserve">What it checks</t>
  </si>
  <si>
    <t xml:space="preserve">Command</t>
  </si>
  <si>
    <t xml:space="preserve">Expected outcome</t>
  </si>
  <si>
    <t xml:space="preserve">Defects covered</t>
  </si>
  <si>
    <t xml:space="preserve">Notes</t>
  </si>
  <si>
    <t xml:space="preserve">Environment ready</t>
  </si>
  <si>
    <t xml:space="preserve">conda activate mdcapstone</t>
  </si>
  <si>
    <t xml:space="preserve">Prompt shows (mdcapstone)</t>
  </si>
  <si>
    <t xml:space="preserve">Branch is correct</t>
  </si>
  <si>
    <t xml:space="preserve">git branch --show-current</t>
  </si>
  <si>
    <t xml:space="preserve">validation-fixes</t>
  </si>
  <si>
    <t xml:space="preserve">Unit tests - all fixes</t>
  </si>
  <si>
    <t xml:space="preserve">python -m pytest tests/test_production_scoring.py -v</t>
  </si>
  <si>
    <t xml:space="preserve">12 passed</t>
  </si>
  <si>
    <t xml:space="preserve">D-01..D-06</t>
  </si>
  <si>
    <t xml:space="preserve">No regression in existing suites</t>
  </si>
  <si>
    <t xml:space="preserve">python -m pytest tests/test_signals.py tests/test_pipeline_edge_cases.py -q</t>
  </si>
  <si>
    <t xml:space="preserve">Integration suites</t>
  </si>
  <si>
    <t xml:space="preserve">python -m pytest tests/test_integration.py tests/test_reproducibility.py -q</t>
  </si>
  <si>
    <t xml:space="preserve">9 passed, 1 known fail (run_msm_tica)</t>
  </si>
  <si>
    <t xml:space="preserve">Pipeline runs end to end</t>
  </si>
  <si>
    <t xml:space="preserve">python run_all_proteins.py --data_dir data --artifacts_dir chk_artifacts --results_dir chk_results --lag_tica 5 --dim_tica 3 --n_clusters 10 --lag_msm 5 --k_neighbors 5 --window 3</t>
  </si>
  <si>
    <t xml:space="preserve">Succeeds; logs 'MSM active set covers N of M cluster states'</t>
  </si>
  <si>
    <t xml:space="preserve">Active-set warning present</t>
  </si>
  <si>
    <t xml:space="preserve">grep -c 'active set covers' &lt;run log&gt;</t>
  </si>
  <si>
    <t xml:space="preserve">&gt;= 1 per protein with pruned states</t>
  </si>
  <si>
    <t xml:space="preserve">state_symbols.npy written</t>
  </si>
  <si>
    <t xml:space="preserve">ls chk_artifacts/*/state_symbols.npy</t>
  </si>
  <si>
    <t xml:space="preserve">One file per protein with pruned states</t>
  </si>
  <si>
    <t xml:space="preserve">Residue scores are not pure RMSF</t>
  </si>
  <si>
    <t xml:space="preserve">python validation/layer3_external.py</t>
  </si>
  <si>
    <t xml:space="preserve">rho(B,score) != rho(B,RMSF); both ~0.55-0.65</t>
  </si>
  <si>
    <t xml:space="preserve">Multi-chain residue count correct</t>
  </si>
  <si>
    <t xml:space="preserve">python -c "import json;print(len(json.load(open('chk_results/8H0R/residue_scores_dynamic.json'))))"</t>
  </si>
  <si>
    <t xml:space="preserve">182 for 8H0R (not 91)</t>
  </si>
  <si>
    <t xml:space="preserve">RMSF export produced</t>
  </si>
  <si>
    <t xml:space="preserve">ls chk_results/*/residue_scores_rmsf.json</t>
  </si>
  <si>
    <t xml:space="preserve">One per protein</t>
  </si>
  <si>
    <t xml:space="preserve">ASVS export is not constant</t>
  </si>
  <si>
    <t xml:space="preserve">python -c "import json;d=json.load(open('chk_exports/8H0R/anomaly_residue.json'));print(len({v for f in d if f.isdigit() for v in d[f].values()}))"</t>
  </si>
  <si>
    <t xml:space="preserve">&gt; 1 distinct value (was 1, all 0.25)</t>
  </si>
  <si>
    <t xml:space="preserve">Numerical validation</t>
  </si>
  <si>
    <t xml:space="preserve">python validation/baseline_numerical.py</t>
  </si>
  <si>
    <t xml:space="preserve">JSON written; tie spreads 0 with fair ranks</t>
  </si>
  <si>
    <t xml:space="preserve">D-01,D-02</t>
  </si>
  <si>
    <t xml:space="preserve">Edge cases</t>
  </si>
  <si>
    <t xml:space="preserve">python validation/baseline_edge_cases.py</t>
  </si>
  <si>
    <t xml:space="preserve">23 ok, 2 expected fail-fast (constant features)</t>
  </si>
  <si>
    <t xml:space="preserve">python validation/baseline_rare_case.py</t>
  </si>
  <si>
    <t xml:space="preserve">Rare-state fused AUROC &gt;= 0.90 on all systems</t>
  </si>
  <si>
    <t xml:space="preserve">python validation/layer2_msm_validity.py</t>
  </si>
  <si>
    <t xml:space="preserve">JSON + 15 figures in validation/figures/</t>
  </si>
  <si>
    <t xml:space="preserve">D-07,D-08</t>
  </si>
  <si>
    <t xml:space="preserve">Compare against recorded metrics</t>
  </si>
  <si>
    <t xml:space="preserve">Open 'Metrics Before-After' tab; check post-fix column matches new run</t>
  </si>
  <si>
    <t xml:space="preserve">No row reads REGRESSED</t>
  </si>
  <si>
    <t xml:space="preserve">all</t>
  </si>
  <si>
    <t xml:space="preserve">Steps passed:</t>
  </si>
  <si>
    <t xml:space="preserve">Any failure?</t>
  </si>
  <si>
    <t xml:space="preserve">EXAMPLE -&gt;</t>
  </si>
  <si>
    <t xml:space="preserve">12 passed in 1.2s</t>
  </si>
  <si>
    <t xml:space="preserve">Open items and pre-publication checklist</t>
  </si>
  <si>
    <t xml:space="preserve">Items that remain outstanding. Owner and target-date columns are for you to fill in.</t>
  </si>
  <si>
    <t xml:space="preserve">Item</t>
  </si>
  <si>
    <t xml:space="preserve">Category</t>
  </si>
  <si>
    <t xml:space="preserve">Why it matters</t>
  </si>
  <si>
    <t xml:space="preserve">Blocking publication?</t>
  </si>
  <si>
    <t xml:space="preserve">Owner</t>
  </si>
  <si>
    <t xml:space="preserve">Target date</t>
  </si>
  <si>
    <t xml:space="preserve">OI-1</t>
  </si>
  <si>
    <t xml:space="preserve">Regenerate headline systems with 50,000-step trajectories (or use ATLAS / long-trajectory dataset)</t>
  </si>
  <si>
    <t xml:space="preserve">Sampling</t>
  </si>
  <si>
    <t xml:space="preserve">At 100 frames the CK test has no power, ITS unconverged, pi CI wider than the value itself</t>
  </si>
  <si>
    <t xml:space="preserve">OI-2</t>
  </si>
  <si>
    <t xml:space="preserve">Repeat Layer 2 battery on longer trajectories; publish CK + ITS figures per system</t>
  </si>
  <si>
    <t xml:space="preserve">Validation</t>
  </si>
  <si>
    <t xml:space="preserve">These are the figures MSM reviewers expect first</t>
  </si>
  <si>
    <t xml:space="preserve">OI-3</t>
  </si>
  <si>
    <t xml:space="preserve">Re-derive hyper-parameters via cross-validated VAMP-2 once sampling supports it</t>
  </si>
  <si>
    <t xml:space="preserve">Model selection</t>
  </si>
  <si>
    <t xml:space="preserve">lag 5 / dim 3 / 10 clusters are unjustified defaults; current grid saturates (overfits)</t>
  </si>
  <si>
    <t xml:space="preserve">OI-4</t>
  </si>
  <si>
    <t xml:space="preserve">Report bootstrap CIs alongside every pi-derived quantity</t>
  </si>
  <si>
    <t xml:space="preserve">Reporting</t>
  </si>
  <si>
    <t xml:space="preserve">Point estimates without intervals overstate precision</t>
  </si>
  <si>
    <t xml:space="preserve">OI-5</t>
  </si>
  <si>
    <t xml:space="preserve">Complete 9O6O and 9UNN runs; extend B-factor table to 4 systems</t>
  </si>
  <si>
    <t xml:space="preserve">Coverage</t>
  </si>
  <si>
    <t xml:space="preserve">Gives 4 independent experimental benchmarks spanning X-ray and cryo-EM</t>
  </si>
  <si>
    <t xml:space="preserve">No</t>
  </si>
  <si>
    <t xml:space="preserve">In progress</t>
  </si>
  <si>
    <t xml:space="preserve">OI-6</t>
  </si>
  <si>
    <t xml:space="preserve">Obtain GPU / HPC access</t>
  </si>
  <si>
    <t xml:space="preserve">Infrastructure</t>
  </si>
  <si>
    <t xml:space="preserve">MD generation is the binding constraint; 9UNN is 23k atoms, hours on laptop. Unblocks OI-1 and OI-5</t>
  </si>
  <si>
    <t xml:space="preserve">YES (indirectly)</t>
  </si>
  <si>
    <t xml:space="preserve">OI-7</t>
  </si>
  <si>
    <t xml:space="preserve">Add literature-based functional-site validation (villin headpiece)</t>
  </si>
  <si>
    <t xml:space="preserve">External validity</t>
  </si>
  <si>
    <t xml:space="preserve">Stronger external ground truth than operational MSM labels</t>
  </si>
  <si>
    <t xml:space="preserve">OI-8</t>
  </si>
  <si>
    <t xml:space="preserve">Replace deeptime KMeans with deterministic clustering</t>
  </si>
  <si>
    <t xml:space="preserve">Reproducibility</t>
  </si>
  <si>
    <t xml:space="preserve">ARI 0.43-0.51 across machines; artifacts are currently platform-specific</t>
  </si>
  <si>
    <t xml:space="preserve">OI-9</t>
  </si>
  <si>
    <t xml:space="preserve">Report rarity and surprise channels separately; evaluate max-fusion</t>
  </si>
  <si>
    <t xml:space="preserve">Method</t>
  </si>
  <si>
    <t xml:space="preserve">Channels are anti-correlated (rho -0.19 to -0.58); median fusion lets them cancel</t>
  </si>
  <si>
    <t xml:space="preserve">OI-10</t>
  </si>
  <si>
    <t xml:space="preserve">Repository hygiene: remove abc.py (shadows stdlib), fix requirements.txt, prune twin-repo doc references</t>
  </si>
  <si>
    <t xml:space="preserve">Housekeeping</t>
  </si>
  <si>
    <t xml:space="preserve">abc.py breaks any script run from repo root; docs cite ~15 files that do not exist here</t>
  </si>
  <si>
    <t xml:space="preserve">OI-14</t>
  </si>
  <si>
    <t xml:space="preserve">Design a KINETIC seeded-anomaly test: rare states that are structurally ordinary</t>
  </si>
  <si>
    <t xml:space="preserve">Phase 1 seeded thermodynamic anomalies (expanded 450K conformations) which a trivial RMSD baseline detects perfectly. The kinetic claim is still untested</t>
  </si>
  <si>
    <t xml:space="preserve">OI-12</t>
  </si>
  <si>
    <t xml:space="preserve">Obtain MSM-independent ground truth (literature functional sites, mutational/binding data, or long-trajectory datasets with characterised rare events)</t>
  </si>
  <si>
    <t xml:space="preserve">Current accuracy labels derive from the same MSM the method consumes - see E-3, E-4. No external validity claim is currently supportable</t>
  </si>
  <si>
    <t xml:space="preserve">OI-13</t>
  </si>
  <si>
    <t xml:space="preserve">Redesign residue aggregation so the anomaly term is not swamped by RMSF</t>
  </si>
  <si>
    <t xml:space="preserve">Post-fix residue scores are still ~99% collinear with RMSF - see E-1</t>
  </si>
  <si>
    <t xml:space="preserve">OI-11</t>
  </si>
  <si>
    <t xml:space="preserve">Merge validation-fixes into main after review</t>
  </si>
  <si>
    <t xml:space="preserve">Process</t>
  </si>
  <si>
    <t xml:space="preserve">All fixes currently isolated on the branch; main still produces uncorrected results</t>
  </si>
  <si>
    <t xml:space="preserve">Blocking items still open: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</si>
</sst>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\+0.000;\-0.000"/>
    <numFmt numFmtId="167" formatCode="\+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1A1A"/>
      <name val="Arial"/>
      <family val="0"/>
      <charset val="1"/>
    </font>
    <font>
      <sz val="9"/>
      <color rgb="FF5A5A5A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4"/>
      <color rgb="FF1A1A1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sz val="9"/>
      <color rgb="FF1A1A1A"/>
      <name val="Consolas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B57"/>
        <bgColor rgb="FF003366"/>
      </patternFill>
    </fill>
    <fill>
      <patternFill patternType="solid">
        <fgColor rgb="FFFBE6DC"/>
        <bgColor rgb="FFFDF3E0"/>
      </patternFill>
    </fill>
    <fill>
      <patternFill patternType="solid">
        <fgColor rgb="FFE3F2E8"/>
        <bgColor rgb="FFF7F9FB"/>
      </patternFill>
    </fill>
    <fill>
      <patternFill patternType="solid">
        <fgColor rgb="FFFFFFCC"/>
        <bgColor rgb="FFFDF3E0"/>
      </patternFill>
    </fill>
    <fill>
      <patternFill patternType="solid">
        <fgColor rgb="FFF7F9FB"/>
        <bgColor rgb="FFFFFFFF"/>
      </patternFill>
    </fill>
    <fill>
      <patternFill patternType="solid">
        <fgColor rgb="FFFDF3E0"/>
        <bgColor rgb="FFFBE6D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DC"/>
      </left>
      <right style="thin">
        <color rgb="FFC9D3DC"/>
      </right>
      <top style="thin">
        <color rgb="FFC9D3DC"/>
      </top>
      <bottom style="thin">
        <color rgb="FFC9D3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B03000"/>
        <sz val="10"/>
      </font>
      <fill>
        <patternFill>
          <bgColor rgb="FFFBE6DC"/>
        </patternFill>
      </fill>
    </dxf>
    <dxf>
      <fill>
        <patternFill>
          <bgColor rgb="FFE3F2E8"/>
        </patternFill>
      </fill>
    </dxf>
    <dxf>
      <fill>
        <patternFill>
          <bgColor rgb="FFFBE6D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3F2E8"/>
      <rgbColor rgb="FF660066"/>
      <rgbColor rgb="FFFF8080"/>
      <rgbColor rgb="FF0066CC"/>
      <rgbColor rgb="FFC9D3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B"/>
      <rgbColor rgb="FFCCFFCC"/>
      <rgbColor rgb="FFFDF3E0"/>
      <rgbColor rgb="FF99CCFF"/>
      <rgbColor rgb="FFFF99CC"/>
      <rgbColor rgb="FFCC99FF"/>
      <rgbColor rgb="FFFBE6DC"/>
      <rgbColor rgb="FF3366FF"/>
      <rgbColor rgb="FF33CCCC"/>
      <rgbColor rgb="FF99CC00"/>
      <rgbColor rgb="FFFFCC00"/>
      <rgbColor rgb="FFFF9900"/>
      <rgbColor rgb="FFFF6600"/>
      <rgbColor rgb="FF5A5A5A"/>
      <rgbColor rgb="FF969696"/>
      <rgbColor rgb="FF003366"/>
      <rgbColor rgb="FF339966"/>
      <rgbColor rgb="FF003300"/>
      <rgbColor rgb="FF1A1A1A"/>
      <rgbColor rgb="FFB03000"/>
      <rgbColor rgb="FF993366"/>
      <rgbColor rgb="FF333399"/>
      <rgbColor rgb="FF1F3B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  <c r="B4" s="4"/>
    </row>
    <row r="5" customFormat="false" ht="23.85" hidden="false" customHeight="false" outlineLevel="0" collapsed="false">
      <c r="A5" s="5" t="s">
        <v>2</v>
      </c>
      <c r="B5" s="4" t="s">
        <v>3</v>
      </c>
    </row>
    <row r="6" customFormat="false" ht="15" hidden="false" customHeight="false" outlineLevel="0" collapsed="false">
      <c r="A6" s="3"/>
      <c r="B6" s="4"/>
    </row>
    <row r="7" customFormat="false" ht="15" hidden="false" customHeight="false" outlineLevel="0" collapsed="false">
      <c r="A7" s="5" t="s">
        <v>4</v>
      </c>
      <c r="B7" s="4"/>
    </row>
    <row r="8" customFormat="false" ht="15" hidden="false" customHeight="false" outlineLevel="0" collapsed="false">
      <c r="A8" s="5" t="s">
        <v>5</v>
      </c>
      <c r="B8" s="4" t="s">
        <v>6</v>
      </c>
    </row>
    <row r="9" customFormat="false" ht="15" hidden="false" customHeight="false" outlineLevel="0" collapsed="false">
      <c r="A9" s="5" t="s">
        <v>7</v>
      </c>
      <c r="B9" s="4" t="s">
        <v>8</v>
      </c>
    </row>
    <row r="10" customFormat="false" ht="15" hidden="false" customHeight="false" outlineLevel="0" collapsed="false">
      <c r="A10" s="5" t="s">
        <v>9</v>
      </c>
      <c r="B10" s="4" t="s">
        <v>10</v>
      </c>
    </row>
    <row r="11" customFormat="false" ht="15" hidden="false" customHeight="false" outlineLevel="0" collapsed="false">
      <c r="A11" s="5" t="s">
        <v>11</v>
      </c>
      <c r="B11" s="4" t="s">
        <v>12</v>
      </c>
    </row>
    <row r="12" customFormat="false" ht="15" hidden="false" customHeight="false" outlineLevel="0" collapsed="false">
      <c r="A12" s="5" t="s">
        <v>13</v>
      </c>
      <c r="B12" s="4" t="s">
        <v>14</v>
      </c>
    </row>
    <row r="13" customFormat="false" ht="15" hidden="false" customHeight="false" outlineLevel="0" collapsed="false">
      <c r="A13" s="5" t="s">
        <v>15</v>
      </c>
      <c r="B13" s="4" t="s">
        <v>16</v>
      </c>
    </row>
    <row r="14" customFormat="false" ht="15" hidden="false" customHeight="false" outlineLevel="0" collapsed="false">
      <c r="A14" s="5" t="s">
        <v>17</v>
      </c>
      <c r="B14" s="4" t="s">
        <v>18</v>
      </c>
    </row>
    <row r="15" customFormat="false" ht="15" hidden="false" customHeight="false" outlineLevel="0" collapsed="false">
      <c r="A15" s="3"/>
      <c r="B15" s="4"/>
    </row>
    <row r="16" customFormat="false" ht="15" hidden="false" customHeight="false" outlineLevel="0" collapsed="false">
      <c r="A16" s="5" t="s">
        <v>19</v>
      </c>
      <c r="B16" s="4" t="s">
        <v>20</v>
      </c>
    </row>
    <row r="17" customFormat="false" ht="15" hidden="false" customHeight="false" outlineLevel="0" collapsed="false">
      <c r="A17" s="3"/>
      <c r="B17" s="4" t="s">
        <v>21</v>
      </c>
    </row>
    <row r="18" customFormat="false" ht="15" hidden="false" customHeight="false" outlineLevel="0" collapsed="false">
      <c r="A18" s="3"/>
      <c r="B18" s="4" t="s">
        <v>22</v>
      </c>
    </row>
    <row r="19" customFormat="false" ht="15" hidden="false" customHeight="false" outlineLevel="0" collapsed="false">
      <c r="A19" s="3"/>
      <c r="B19" s="4" t="s">
        <v>23</v>
      </c>
    </row>
    <row r="20" customFormat="false" ht="15" hidden="false" customHeight="false" outlineLevel="0" collapsed="false">
      <c r="A20" s="3"/>
      <c r="B20" s="4" t="s">
        <v>24</v>
      </c>
    </row>
    <row r="21" customFormat="false" ht="15" hidden="false" customHeight="false" outlineLevel="0" collapsed="false">
      <c r="A21" s="3"/>
      <c r="B21" s="4"/>
    </row>
    <row r="22" customFormat="false" ht="23.85" hidden="false" customHeight="false" outlineLevel="0" collapsed="false">
      <c r="A22" s="5" t="s">
        <v>25</v>
      </c>
      <c r="B22" s="4" t="s">
        <v>26</v>
      </c>
    </row>
    <row r="23" customFormat="false" ht="15" hidden="false" customHeight="false" outlineLevel="0" collapsed="false">
      <c r="A23" s="3"/>
      <c r="B23" s="4"/>
    </row>
    <row r="24" customFormat="false" ht="23.85" hidden="false" customHeight="false" outlineLevel="0" collapsed="false">
      <c r="A24" s="5" t="s">
        <v>27</v>
      </c>
      <c r="B24" s="4" t="s">
        <v>28</v>
      </c>
    </row>
    <row r="25" customFormat="false" ht="15" hidden="false" customHeight="false" outlineLevel="0" collapsed="false">
      <c r="A25" s="5" t="s">
        <v>29</v>
      </c>
      <c r="B25" s="4" t="s">
        <v>30</v>
      </c>
    </row>
    <row r="26" customFormat="false" ht="15" hidden="false" customHeight="false" outlineLevel="0" collapsed="false">
      <c r="A26" s="5" t="s">
        <v>31</v>
      </c>
      <c r="B26" s="4" t="s">
        <v>32</v>
      </c>
    </row>
    <row r="27" customFormat="false" ht="15" hidden="false" customHeight="false" outlineLevel="0" collapsed="false">
      <c r="A27" s="3"/>
      <c r="B27" s="4"/>
    </row>
    <row r="28" customFormat="false" ht="23.85" hidden="false" customHeight="false" outlineLevel="0" collapsed="false">
      <c r="A28" s="5" t="s">
        <v>33</v>
      </c>
      <c r="B28" s="4" t="s">
        <v>34</v>
      </c>
    </row>
    <row r="29" customFormat="false" ht="15" hidden="false" customHeight="false" outlineLevel="0" collapsed="false">
      <c r="A29" s="3"/>
      <c r="B29" s="4"/>
    </row>
    <row r="30" customFormat="false" ht="35.05" hidden="false" customHeight="false" outlineLevel="0" collapsed="false">
      <c r="A30" s="5" t="s">
        <v>35</v>
      </c>
      <c r="B30" s="4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3" min="3" style="0" width="26"/>
    <col collapsed="false" customWidth="true" hidden="false" outlineLevel="0" max="4" min="4" style="0" width="40"/>
    <col collapsed="false" customWidth="true" hidden="false" outlineLevel="0" max="5" min="5" style="0" width="34"/>
    <col collapsed="false" customWidth="true" hidden="false" outlineLevel="0" max="6" min="6" style="0" width="10"/>
    <col collapsed="false" customWidth="true" hidden="false" outlineLevel="0" max="7" min="7" style="0" width="46"/>
    <col collapsed="false" customWidth="true" hidden="false" outlineLevel="0" max="8" min="8" style="0" width="40"/>
    <col collapsed="false" customWidth="true" hidden="false" outlineLevel="0" max="9" min="9" style="0" width="34"/>
    <col collapsed="false" customWidth="true" hidden="false" outlineLevel="0" max="10" min="10" style="0" width="11"/>
    <col collapsed="false" customWidth="true" hidden="false" outlineLevel="0" max="12" min="11" style="0" width="14"/>
    <col collapsed="false" customWidth="true" hidden="false" outlineLevel="0" max="13" min="13" style="0" width="12"/>
  </cols>
  <sheetData>
    <row r="1" customFormat="false" ht="17.35" hidden="false" customHeight="false" outlineLevel="0" collapsed="false">
      <c r="A1" s="6" t="s">
        <v>37</v>
      </c>
    </row>
    <row r="2" customFormat="false" ht="15" hidden="false" customHeight="false" outlineLevel="0" collapsed="false">
      <c r="A2" s="2" t="s">
        <v>38</v>
      </c>
    </row>
    <row r="3" customFormat="false" ht="30" hidden="false" customHeight="true" outlineLevel="0" collapsed="false">
      <c r="A3" s="7" t="s">
        <v>39</v>
      </c>
      <c r="B3" s="7" t="s">
        <v>40</v>
      </c>
      <c r="C3" s="7" t="s">
        <v>41</v>
      </c>
      <c r="D3" s="7" t="s">
        <v>42</v>
      </c>
      <c r="E3" s="7" t="s">
        <v>43</v>
      </c>
      <c r="F3" s="7" t="s">
        <v>44</v>
      </c>
      <c r="G3" s="7" t="s">
        <v>45</v>
      </c>
      <c r="H3" s="7" t="s">
        <v>46</v>
      </c>
      <c r="I3" s="7" t="s">
        <v>47</v>
      </c>
      <c r="J3" s="7" t="s">
        <v>48</v>
      </c>
      <c r="K3" s="7" t="s">
        <v>49</v>
      </c>
      <c r="L3" s="7" t="s">
        <v>50</v>
      </c>
      <c r="M3" s="7" t="s">
        <v>51</v>
      </c>
    </row>
    <row r="4" customFormat="false" ht="35.05" hidden="false" customHeight="false" outlineLevel="0" collapsed="false">
      <c r="A4" s="8" t="s">
        <v>52</v>
      </c>
      <c r="B4" s="8" t="s">
        <v>53</v>
      </c>
      <c r="C4" s="8" t="s">
        <v>54</v>
      </c>
      <c r="D4" s="9" t="s">
        <v>55</v>
      </c>
      <c r="E4" s="9" t="s">
        <v>56</v>
      </c>
      <c r="F4" s="10" t="s">
        <v>57</v>
      </c>
      <c r="G4" s="9" t="s">
        <v>58</v>
      </c>
      <c r="H4" s="9" t="s">
        <v>59</v>
      </c>
      <c r="I4" s="9" t="s">
        <v>60</v>
      </c>
      <c r="J4" s="11" t="s">
        <v>61</v>
      </c>
      <c r="K4" s="12" t="s">
        <v>62</v>
      </c>
      <c r="L4" s="12"/>
      <c r="M4" s="12"/>
    </row>
    <row r="5" customFormat="false" ht="35.05" hidden="false" customHeight="false" outlineLevel="0" collapsed="false">
      <c r="A5" s="13" t="s">
        <v>63</v>
      </c>
      <c r="B5" s="13" t="s">
        <v>53</v>
      </c>
      <c r="C5" s="13" t="s">
        <v>54</v>
      </c>
      <c r="D5" s="14" t="s">
        <v>64</v>
      </c>
      <c r="E5" s="14" t="s">
        <v>65</v>
      </c>
      <c r="F5" s="15" t="s">
        <v>66</v>
      </c>
      <c r="G5" s="14" t="s">
        <v>67</v>
      </c>
      <c r="H5" s="14" t="s">
        <v>68</v>
      </c>
      <c r="I5" s="14" t="s">
        <v>69</v>
      </c>
      <c r="J5" s="11" t="s">
        <v>61</v>
      </c>
      <c r="K5" s="12" t="s">
        <v>62</v>
      </c>
      <c r="L5" s="12"/>
      <c r="M5" s="12"/>
    </row>
    <row r="6" customFormat="false" ht="46.25" hidden="false" customHeight="false" outlineLevel="0" collapsed="false">
      <c r="A6" s="8" t="s">
        <v>70</v>
      </c>
      <c r="B6" s="8" t="s">
        <v>53</v>
      </c>
      <c r="C6" s="8" t="s">
        <v>54</v>
      </c>
      <c r="D6" s="9" t="s">
        <v>71</v>
      </c>
      <c r="E6" s="9" t="s">
        <v>72</v>
      </c>
      <c r="F6" s="15" t="s">
        <v>66</v>
      </c>
      <c r="G6" s="9" t="s">
        <v>73</v>
      </c>
      <c r="H6" s="9" t="s">
        <v>74</v>
      </c>
      <c r="I6" s="9" t="s">
        <v>75</v>
      </c>
      <c r="J6" s="11" t="s">
        <v>61</v>
      </c>
      <c r="K6" s="12" t="s">
        <v>62</v>
      </c>
      <c r="L6" s="12"/>
      <c r="M6" s="12"/>
    </row>
    <row r="7" customFormat="false" ht="35.05" hidden="false" customHeight="false" outlineLevel="0" collapsed="false">
      <c r="A7" s="13" t="s">
        <v>76</v>
      </c>
      <c r="B7" s="13" t="s">
        <v>53</v>
      </c>
      <c r="C7" s="13" t="s">
        <v>77</v>
      </c>
      <c r="D7" s="14" t="s">
        <v>78</v>
      </c>
      <c r="E7" s="14" t="s">
        <v>79</v>
      </c>
      <c r="F7" s="15" t="s">
        <v>66</v>
      </c>
      <c r="G7" s="14" t="s">
        <v>80</v>
      </c>
      <c r="H7" s="14" t="s">
        <v>81</v>
      </c>
      <c r="I7" s="14" t="s">
        <v>82</v>
      </c>
      <c r="J7" s="16" t="s">
        <v>83</v>
      </c>
      <c r="K7" s="12" t="s">
        <v>84</v>
      </c>
      <c r="L7" s="12"/>
      <c r="M7" s="12"/>
    </row>
    <row r="8" customFormat="false" ht="23.85" hidden="false" customHeight="false" outlineLevel="0" collapsed="false">
      <c r="A8" s="8" t="s">
        <v>85</v>
      </c>
      <c r="B8" s="8" t="s">
        <v>53</v>
      </c>
      <c r="C8" s="8" t="s">
        <v>77</v>
      </c>
      <c r="D8" s="9" t="s">
        <v>86</v>
      </c>
      <c r="E8" s="9" t="s">
        <v>87</v>
      </c>
      <c r="F8" s="15" t="s">
        <v>66</v>
      </c>
      <c r="G8" s="9" t="s">
        <v>88</v>
      </c>
      <c r="H8" s="9" t="s">
        <v>89</v>
      </c>
      <c r="I8" s="9" t="s">
        <v>90</v>
      </c>
      <c r="J8" s="11" t="s">
        <v>61</v>
      </c>
      <c r="K8" s="12" t="s">
        <v>62</v>
      </c>
      <c r="L8" s="12"/>
      <c r="M8" s="12"/>
    </row>
    <row r="9" customFormat="false" ht="35.05" hidden="false" customHeight="false" outlineLevel="0" collapsed="false">
      <c r="A9" s="13" t="s">
        <v>91</v>
      </c>
      <c r="B9" s="13" t="s">
        <v>53</v>
      </c>
      <c r="C9" s="13" t="s">
        <v>92</v>
      </c>
      <c r="D9" s="14" t="s">
        <v>93</v>
      </c>
      <c r="E9" s="14" t="s">
        <v>94</v>
      </c>
      <c r="F9" s="15" t="s">
        <v>66</v>
      </c>
      <c r="G9" s="14" t="s">
        <v>95</v>
      </c>
      <c r="H9" s="14" t="s">
        <v>96</v>
      </c>
      <c r="I9" s="14" t="s">
        <v>97</v>
      </c>
      <c r="J9" s="11" t="s">
        <v>61</v>
      </c>
      <c r="K9" s="12" t="s">
        <v>62</v>
      </c>
      <c r="L9" s="12"/>
      <c r="M9" s="12"/>
    </row>
    <row r="10" customFormat="false" ht="23.85" hidden="false" customHeight="false" outlineLevel="0" collapsed="false">
      <c r="A10" s="8" t="s">
        <v>98</v>
      </c>
      <c r="B10" s="8" t="s">
        <v>99</v>
      </c>
      <c r="C10" s="8" t="s">
        <v>100</v>
      </c>
      <c r="D10" s="9" t="s">
        <v>101</v>
      </c>
      <c r="E10" s="9" t="s">
        <v>102</v>
      </c>
      <c r="F10" s="15" t="s">
        <v>66</v>
      </c>
      <c r="G10" s="9" t="s">
        <v>103</v>
      </c>
      <c r="H10" s="9" t="s">
        <v>104</v>
      </c>
      <c r="I10" s="9" t="s">
        <v>105</v>
      </c>
      <c r="J10" s="11" t="s">
        <v>61</v>
      </c>
      <c r="K10" s="12" t="s">
        <v>62</v>
      </c>
      <c r="L10" s="12"/>
      <c r="M10" s="12"/>
    </row>
    <row r="11" customFormat="false" ht="35.05" hidden="false" customHeight="false" outlineLevel="0" collapsed="false">
      <c r="A11" s="13" t="s">
        <v>106</v>
      </c>
      <c r="B11" s="13" t="s">
        <v>99</v>
      </c>
      <c r="C11" s="13" t="s">
        <v>107</v>
      </c>
      <c r="D11" s="14" t="s">
        <v>108</v>
      </c>
      <c r="E11" s="14" t="s">
        <v>109</v>
      </c>
      <c r="F11" s="15" t="s">
        <v>66</v>
      </c>
      <c r="G11" s="14" t="s">
        <v>110</v>
      </c>
      <c r="H11" s="14" t="s">
        <v>111</v>
      </c>
      <c r="I11" s="14" t="s">
        <v>112</v>
      </c>
      <c r="J11" s="11" t="s">
        <v>61</v>
      </c>
      <c r="K11" s="12" t="s">
        <v>62</v>
      </c>
      <c r="L11" s="12"/>
      <c r="M11" s="12"/>
    </row>
    <row r="12" customFormat="false" ht="35.05" hidden="false" customHeight="false" outlineLevel="0" collapsed="false">
      <c r="A12" s="8" t="s">
        <v>113</v>
      </c>
      <c r="B12" s="8" t="s">
        <v>53</v>
      </c>
      <c r="C12" s="8" t="s">
        <v>114</v>
      </c>
      <c r="D12" s="9" t="s">
        <v>115</v>
      </c>
      <c r="E12" s="9" t="s">
        <v>116</v>
      </c>
      <c r="F12" s="17" t="s">
        <v>117</v>
      </c>
      <c r="G12" s="9" t="s">
        <v>118</v>
      </c>
      <c r="H12" s="9" t="s">
        <v>119</v>
      </c>
      <c r="I12" s="9" t="s">
        <v>120</v>
      </c>
      <c r="J12" s="18" t="s">
        <v>121</v>
      </c>
      <c r="K12" s="12" t="s">
        <v>122</v>
      </c>
      <c r="L12" s="12"/>
      <c r="M12" s="12"/>
    </row>
    <row r="13" customFormat="false" ht="35.05" hidden="false" customHeight="false" outlineLevel="0" collapsed="false">
      <c r="A13" s="13" t="s">
        <v>123</v>
      </c>
      <c r="B13" s="13" t="s">
        <v>53</v>
      </c>
      <c r="C13" s="13" t="s">
        <v>124</v>
      </c>
      <c r="D13" s="14" t="s">
        <v>125</v>
      </c>
      <c r="E13" s="14" t="s">
        <v>126</v>
      </c>
      <c r="F13" s="15" t="s">
        <v>127</v>
      </c>
      <c r="G13" s="14" t="s">
        <v>128</v>
      </c>
      <c r="H13" s="14" t="s">
        <v>129</v>
      </c>
      <c r="I13" s="14" t="s">
        <v>130</v>
      </c>
      <c r="J13" s="19" t="s">
        <v>131</v>
      </c>
      <c r="K13" s="12" t="s">
        <v>132</v>
      </c>
      <c r="L13" s="12"/>
      <c r="M13" s="12"/>
    </row>
    <row r="14" customFormat="false" ht="35.05" hidden="false" customHeight="false" outlineLevel="0" collapsed="false">
      <c r="A14" s="8" t="s">
        <v>133</v>
      </c>
      <c r="B14" s="8" t="s">
        <v>99</v>
      </c>
      <c r="C14" s="8" t="s">
        <v>134</v>
      </c>
      <c r="D14" s="9" t="s">
        <v>135</v>
      </c>
      <c r="E14" s="9" t="s">
        <v>136</v>
      </c>
      <c r="F14" s="10" t="s">
        <v>57</v>
      </c>
      <c r="G14" s="9" t="s">
        <v>137</v>
      </c>
      <c r="H14" s="9" t="s">
        <v>138</v>
      </c>
      <c r="I14" s="9" t="s">
        <v>139</v>
      </c>
      <c r="J14" s="19" t="s">
        <v>131</v>
      </c>
      <c r="K14" s="12" t="s">
        <v>132</v>
      </c>
      <c r="L14" s="12"/>
      <c r="M14" s="12"/>
    </row>
    <row r="15" customFormat="false" ht="35.05" hidden="false" customHeight="false" outlineLevel="0" collapsed="false">
      <c r="A15" s="13" t="s">
        <v>140</v>
      </c>
      <c r="B15" s="13" t="s">
        <v>53</v>
      </c>
      <c r="C15" s="13" t="s">
        <v>77</v>
      </c>
      <c r="D15" s="14" t="s">
        <v>141</v>
      </c>
      <c r="E15" s="14" t="s">
        <v>142</v>
      </c>
      <c r="F15" s="15" t="s">
        <v>66</v>
      </c>
      <c r="G15" s="14" t="s">
        <v>143</v>
      </c>
      <c r="H15" s="14" t="s">
        <v>144</v>
      </c>
      <c r="I15" s="14" t="s">
        <v>145</v>
      </c>
      <c r="J15" s="19" t="s">
        <v>131</v>
      </c>
      <c r="K15" s="12" t="s">
        <v>132</v>
      </c>
      <c r="L15" s="12"/>
      <c r="M15" s="12"/>
    </row>
    <row r="16" customFormat="false" ht="35.05" hidden="false" customHeight="false" outlineLevel="0" collapsed="false">
      <c r="A16" s="8" t="s">
        <v>146</v>
      </c>
      <c r="B16" s="8" t="s">
        <v>147</v>
      </c>
      <c r="C16" s="8" t="s">
        <v>148</v>
      </c>
      <c r="D16" s="9" t="s">
        <v>149</v>
      </c>
      <c r="E16" s="9" t="s">
        <v>150</v>
      </c>
      <c r="F16" s="10" t="s">
        <v>57</v>
      </c>
      <c r="G16" s="9" t="s">
        <v>151</v>
      </c>
      <c r="H16" s="9" t="s">
        <v>152</v>
      </c>
      <c r="I16" s="9" t="s">
        <v>153</v>
      </c>
      <c r="J16" s="19" t="s">
        <v>131</v>
      </c>
      <c r="K16" s="12" t="s">
        <v>132</v>
      </c>
      <c r="L16" s="12"/>
      <c r="M16" s="12"/>
    </row>
    <row r="17" customFormat="false" ht="35.05" hidden="false" customHeight="false" outlineLevel="0" collapsed="false">
      <c r="A17" s="13" t="s">
        <v>154</v>
      </c>
      <c r="B17" s="13" t="s">
        <v>147</v>
      </c>
      <c r="C17" s="13" t="s">
        <v>148</v>
      </c>
      <c r="D17" s="14" t="s">
        <v>155</v>
      </c>
      <c r="E17" s="14" t="s">
        <v>156</v>
      </c>
      <c r="F17" s="10" t="s">
        <v>57</v>
      </c>
      <c r="G17" s="14" t="s">
        <v>157</v>
      </c>
      <c r="H17" s="14" t="s">
        <v>158</v>
      </c>
      <c r="I17" s="14" t="s">
        <v>159</v>
      </c>
      <c r="J17" s="19" t="s">
        <v>131</v>
      </c>
      <c r="K17" s="12" t="s">
        <v>132</v>
      </c>
      <c r="L17" s="12"/>
      <c r="M17" s="12"/>
    </row>
    <row r="18" customFormat="false" ht="35.05" hidden="false" customHeight="false" outlineLevel="0" collapsed="false">
      <c r="A18" s="8" t="s">
        <v>160</v>
      </c>
      <c r="B18" s="8" t="s">
        <v>147</v>
      </c>
      <c r="C18" s="8" t="s">
        <v>148</v>
      </c>
      <c r="D18" s="9" t="s">
        <v>161</v>
      </c>
      <c r="E18" s="9" t="s">
        <v>162</v>
      </c>
      <c r="F18" s="10" t="s">
        <v>57</v>
      </c>
      <c r="G18" s="9" t="s">
        <v>163</v>
      </c>
      <c r="H18" s="9" t="s">
        <v>164</v>
      </c>
      <c r="I18" s="9" t="s">
        <v>165</v>
      </c>
      <c r="J18" s="19" t="s">
        <v>131</v>
      </c>
      <c r="K18" s="12" t="s">
        <v>132</v>
      </c>
      <c r="L18" s="12"/>
      <c r="M18" s="12"/>
    </row>
    <row r="19" customFormat="false" ht="23.85" hidden="false" customHeight="false" outlineLevel="0" collapsed="false">
      <c r="A19" s="13" t="s">
        <v>166</v>
      </c>
      <c r="B19" s="13" t="s">
        <v>99</v>
      </c>
      <c r="C19" s="13" t="s">
        <v>167</v>
      </c>
      <c r="D19" s="14" t="s">
        <v>168</v>
      </c>
      <c r="E19" s="14" t="s">
        <v>169</v>
      </c>
      <c r="F19" s="15" t="s">
        <v>127</v>
      </c>
      <c r="G19" s="14" t="s">
        <v>170</v>
      </c>
      <c r="H19" s="14" t="s">
        <v>171</v>
      </c>
      <c r="I19" s="14" t="s">
        <v>172</v>
      </c>
      <c r="J19" s="20" t="s">
        <v>121</v>
      </c>
      <c r="K19" s="12" t="s">
        <v>122</v>
      </c>
      <c r="L19" s="12"/>
      <c r="M19" s="12"/>
    </row>
    <row r="20" customFormat="false" ht="23.85" hidden="false" customHeight="false" outlineLevel="0" collapsed="false">
      <c r="A20" s="8" t="s">
        <v>173</v>
      </c>
      <c r="B20" s="8" t="s">
        <v>174</v>
      </c>
      <c r="C20" s="8" t="s">
        <v>175</v>
      </c>
      <c r="D20" s="9" t="s">
        <v>176</v>
      </c>
      <c r="E20" s="9" t="s">
        <v>177</v>
      </c>
      <c r="F20" s="17" t="s">
        <v>117</v>
      </c>
      <c r="G20" s="9" t="s">
        <v>178</v>
      </c>
      <c r="H20" s="9" t="s">
        <v>179</v>
      </c>
      <c r="I20" s="9" t="s">
        <v>180</v>
      </c>
      <c r="J20" s="18" t="s">
        <v>121</v>
      </c>
      <c r="K20" s="12" t="s">
        <v>122</v>
      </c>
      <c r="L20" s="12"/>
      <c r="M20" s="12"/>
    </row>
    <row r="21" customFormat="false" ht="46.25" hidden="false" customHeight="false" outlineLevel="0" collapsed="false">
      <c r="A21" s="13" t="s">
        <v>181</v>
      </c>
      <c r="B21" s="13" t="s">
        <v>53</v>
      </c>
      <c r="C21" s="13" t="s">
        <v>114</v>
      </c>
      <c r="D21" s="14" t="s">
        <v>182</v>
      </c>
      <c r="E21" s="14" t="s">
        <v>183</v>
      </c>
      <c r="F21" s="10" t="s">
        <v>57</v>
      </c>
      <c r="G21" s="14" t="s">
        <v>184</v>
      </c>
      <c r="H21" s="14" t="s">
        <v>185</v>
      </c>
      <c r="I21" s="14" t="s">
        <v>186</v>
      </c>
      <c r="J21" s="11" t="s">
        <v>61</v>
      </c>
      <c r="K21" s="12" t="s">
        <v>62</v>
      </c>
      <c r="L21" s="12"/>
      <c r="M21" s="12"/>
    </row>
    <row r="22" customFormat="false" ht="35.05" hidden="false" customHeight="false" outlineLevel="0" collapsed="false">
      <c r="A22" s="8" t="s">
        <v>187</v>
      </c>
      <c r="B22" s="8" t="s">
        <v>147</v>
      </c>
      <c r="C22" s="8" t="s">
        <v>188</v>
      </c>
      <c r="D22" s="9" t="s">
        <v>189</v>
      </c>
      <c r="E22" s="9" t="s">
        <v>190</v>
      </c>
      <c r="F22" s="10" t="s">
        <v>57</v>
      </c>
      <c r="G22" s="9" t="s">
        <v>191</v>
      </c>
      <c r="H22" s="9" t="s">
        <v>192</v>
      </c>
      <c r="I22" s="9" t="s">
        <v>193</v>
      </c>
      <c r="J22" s="18" t="s">
        <v>194</v>
      </c>
      <c r="K22" s="12" t="s">
        <v>132</v>
      </c>
      <c r="L22" s="12"/>
      <c r="M22" s="12"/>
    </row>
    <row r="23" customFormat="false" ht="35.05" hidden="false" customHeight="false" outlineLevel="0" collapsed="false">
      <c r="A23" s="13" t="s">
        <v>195</v>
      </c>
      <c r="B23" s="13" t="s">
        <v>147</v>
      </c>
      <c r="C23" s="13" t="s">
        <v>54</v>
      </c>
      <c r="D23" s="14" t="s">
        <v>196</v>
      </c>
      <c r="E23" s="14" t="s">
        <v>197</v>
      </c>
      <c r="F23" s="15" t="s">
        <v>66</v>
      </c>
      <c r="G23" s="14" t="s">
        <v>198</v>
      </c>
      <c r="H23" s="14" t="s">
        <v>199</v>
      </c>
      <c r="I23" s="14" t="s">
        <v>200</v>
      </c>
      <c r="J23" s="20" t="s">
        <v>194</v>
      </c>
      <c r="K23" s="12" t="s">
        <v>132</v>
      </c>
      <c r="L23" s="12"/>
      <c r="M23" s="12"/>
    </row>
    <row r="24" customFormat="false" ht="35.05" hidden="false" customHeight="false" outlineLevel="0" collapsed="false">
      <c r="A24" s="8" t="s">
        <v>201</v>
      </c>
      <c r="B24" s="8" t="s">
        <v>147</v>
      </c>
      <c r="C24" s="8" t="s">
        <v>202</v>
      </c>
      <c r="D24" s="9" t="s">
        <v>203</v>
      </c>
      <c r="E24" s="9" t="s">
        <v>204</v>
      </c>
      <c r="F24" s="17" t="s">
        <v>117</v>
      </c>
      <c r="G24" s="9" t="s">
        <v>205</v>
      </c>
      <c r="H24" s="9" t="s">
        <v>206</v>
      </c>
      <c r="I24" s="9" t="s">
        <v>207</v>
      </c>
      <c r="J24" s="11" t="s">
        <v>61</v>
      </c>
      <c r="K24" s="12" t="s">
        <v>122</v>
      </c>
      <c r="L24" s="12"/>
      <c r="M24" s="12"/>
    </row>
    <row r="26" customFormat="false" ht="15" hidden="false" customHeight="false" outlineLevel="0" collapsed="false">
      <c r="A26" s="5" t="s">
        <v>208</v>
      </c>
    </row>
    <row r="27" customFormat="false" ht="15" hidden="false" customHeight="false" outlineLevel="0" collapsed="false">
      <c r="A27" s="2" t="s">
        <v>209</v>
      </c>
    </row>
    <row r="28" customFormat="false" ht="15" hidden="false" customHeight="false" outlineLevel="0" collapsed="false">
      <c r="A28" s="2" t="s">
        <v>210</v>
      </c>
      <c r="K28" s="21" t="s">
        <v>211</v>
      </c>
      <c r="L28" s="21" t="s">
        <v>212</v>
      </c>
      <c r="M28" s="21" t="s">
        <v>213</v>
      </c>
    </row>
  </sheetData>
  <dataValidations count="1">
    <dataValidation allowBlank="true" errorStyle="stop" operator="between" showDropDown="false" showErrorMessage="false" showInputMessage="false" sqref="K4:K24" type="list">
      <formula1>"Fixed,Partially fixed,Re-verified,Open,Documented,Regressed"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30"/>
    <col collapsed="false" customWidth="true" hidden="false" outlineLevel="0" max="4" min="4" style="0" width="13"/>
    <col collapsed="false" customWidth="true" hidden="false" outlineLevel="0" max="5" min="5" style="0" width="52"/>
    <col collapsed="false" customWidth="true" hidden="false" outlineLevel="0" max="6" min="6" style="0" width="24"/>
    <col collapsed="false" customWidth="true" hidden="false" outlineLevel="0" max="8" min="7" style="0" width="11"/>
    <col collapsed="false" customWidth="true" hidden="false" outlineLevel="0" max="9" min="9" style="0" width="14"/>
    <col collapsed="false" customWidth="true" hidden="false" outlineLevel="0" max="10" min="10" style="0" width="12"/>
  </cols>
  <sheetData>
    <row r="1" customFormat="false" ht="17.35" hidden="false" customHeight="false" outlineLevel="0" collapsed="false">
      <c r="A1" s="6" t="s">
        <v>214</v>
      </c>
    </row>
    <row r="2" customFormat="false" ht="15" hidden="false" customHeight="false" outlineLevel="0" collapsed="false">
      <c r="A2" s="2" t="s">
        <v>215</v>
      </c>
    </row>
    <row r="3" customFormat="false" ht="30" hidden="false" customHeight="true" outlineLevel="0" collapsed="false">
      <c r="A3" s="7" t="s">
        <v>216</v>
      </c>
      <c r="B3" s="7" t="s">
        <v>217</v>
      </c>
      <c r="C3" s="7" t="s">
        <v>218</v>
      </c>
      <c r="D3" s="7" t="s">
        <v>219</v>
      </c>
      <c r="E3" s="7" t="s">
        <v>220</v>
      </c>
      <c r="F3" s="7" t="s">
        <v>221</v>
      </c>
      <c r="G3" s="7" t="s">
        <v>222</v>
      </c>
      <c r="H3" s="7" t="s">
        <v>223</v>
      </c>
      <c r="I3" s="7" t="s">
        <v>224</v>
      </c>
      <c r="J3" s="7" t="s">
        <v>51</v>
      </c>
    </row>
    <row r="4" customFormat="false" ht="23.85" hidden="false" customHeight="false" outlineLevel="0" collapsed="false">
      <c r="A4" s="8" t="s">
        <v>225</v>
      </c>
      <c r="B4" s="9" t="s">
        <v>226</v>
      </c>
      <c r="C4" s="8" t="s">
        <v>227</v>
      </c>
      <c r="D4" s="8" t="s">
        <v>52</v>
      </c>
      <c r="E4" s="9" t="s">
        <v>228</v>
      </c>
      <c r="F4" s="9" t="s">
        <v>61</v>
      </c>
      <c r="G4" s="8" t="s">
        <v>229</v>
      </c>
      <c r="H4" s="11" t="s">
        <v>61</v>
      </c>
      <c r="I4" s="12"/>
      <c r="J4" s="12"/>
    </row>
    <row r="5" customFormat="false" ht="23.85" hidden="false" customHeight="false" outlineLevel="0" collapsed="false">
      <c r="A5" s="13" t="s">
        <v>230</v>
      </c>
      <c r="B5" s="14" t="s">
        <v>231</v>
      </c>
      <c r="C5" s="13" t="s">
        <v>227</v>
      </c>
      <c r="D5" s="13" t="s">
        <v>52</v>
      </c>
      <c r="E5" s="14" t="s">
        <v>232</v>
      </c>
      <c r="F5" s="14" t="s">
        <v>61</v>
      </c>
      <c r="G5" s="13" t="s">
        <v>229</v>
      </c>
      <c r="H5" s="11" t="s">
        <v>61</v>
      </c>
      <c r="I5" s="12"/>
      <c r="J5" s="12"/>
    </row>
    <row r="6" customFormat="false" ht="15" hidden="false" customHeight="false" outlineLevel="0" collapsed="false">
      <c r="A6" s="8" t="s">
        <v>233</v>
      </c>
      <c r="B6" s="9" t="s">
        <v>234</v>
      </c>
      <c r="C6" s="8" t="s">
        <v>227</v>
      </c>
      <c r="D6" s="8" t="s">
        <v>52</v>
      </c>
      <c r="E6" s="9" t="s">
        <v>235</v>
      </c>
      <c r="F6" s="9" t="s">
        <v>61</v>
      </c>
      <c r="G6" s="8" t="s">
        <v>229</v>
      </c>
      <c r="H6" s="11" t="s">
        <v>61</v>
      </c>
      <c r="I6" s="12"/>
      <c r="J6" s="12"/>
    </row>
    <row r="7" customFormat="false" ht="23.85" hidden="false" customHeight="false" outlineLevel="0" collapsed="false">
      <c r="A7" s="13" t="s">
        <v>236</v>
      </c>
      <c r="B7" s="14" t="s">
        <v>237</v>
      </c>
      <c r="C7" s="13" t="s">
        <v>227</v>
      </c>
      <c r="D7" s="13" t="s">
        <v>52</v>
      </c>
      <c r="E7" s="14" t="s">
        <v>238</v>
      </c>
      <c r="F7" s="14" t="s">
        <v>61</v>
      </c>
      <c r="G7" s="13" t="s">
        <v>229</v>
      </c>
      <c r="H7" s="11" t="s">
        <v>61</v>
      </c>
      <c r="I7" s="12"/>
      <c r="J7" s="12"/>
    </row>
    <row r="8" customFormat="false" ht="23.85" hidden="false" customHeight="false" outlineLevel="0" collapsed="false">
      <c r="A8" s="8" t="s">
        <v>239</v>
      </c>
      <c r="B8" s="9" t="s">
        <v>240</v>
      </c>
      <c r="C8" s="8" t="s">
        <v>227</v>
      </c>
      <c r="D8" s="8" t="s">
        <v>63</v>
      </c>
      <c r="E8" s="9" t="s">
        <v>241</v>
      </c>
      <c r="F8" s="9" t="s">
        <v>61</v>
      </c>
      <c r="G8" s="8" t="s">
        <v>229</v>
      </c>
      <c r="H8" s="11" t="s">
        <v>61</v>
      </c>
      <c r="I8" s="12"/>
      <c r="J8" s="12"/>
    </row>
    <row r="9" customFormat="false" ht="23.85" hidden="false" customHeight="false" outlineLevel="0" collapsed="false">
      <c r="A9" s="13" t="s">
        <v>242</v>
      </c>
      <c r="B9" s="14" t="s">
        <v>243</v>
      </c>
      <c r="C9" s="13" t="s">
        <v>227</v>
      </c>
      <c r="D9" s="13" t="s">
        <v>63</v>
      </c>
      <c r="E9" s="14" t="s">
        <v>244</v>
      </c>
      <c r="F9" s="14" t="s">
        <v>61</v>
      </c>
      <c r="G9" s="13" t="s">
        <v>229</v>
      </c>
      <c r="H9" s="11" t="s">
        <v>61</v>
      </c>
      <c r="I9" s="12"/>
      <c r="J9" s="12"/>
    </row>
    <row r="10" customFormat="false" ht="15" hidden="false" customHeight="false" outlineLevel="0" collapsed="false">
      <c r="A10" s="8" t="s">
        <v>245</v>
      </c>
      <c r="B10" s="9" t="s">
        <v>246</v>
      </c>
      <c r="C10" s="8" t="s">
        <v>227</v>
      </c>
      <c r="D10" s="8" t="s">
        <v>63</v>
      </c>
      <c r="E10" s="9" t="s">
        <v>247</v>
      </c>
      <c r="F10" s="9" t="s">
        <v>61</v>
      </c>
      <c r="G10" s="8" t="s">
        <v>229</v>
      </c>
      <c r="H10" s="11" t="s">
        <v>61</v>
      </c>
      <c r="I10" s="12"/>
      <c r="J10" s="12"/>
    </row>
    <row r="11" customFormat="false" ht="23.85" hidden="false" customHeight="false" outlineLevel="0" collapsed="false">
      <c r="A11" s="13" t="s">
        <v>248</v>
      </c>
      <c r="B11" s="14" t="s">
        <v>249</v>
      </c>
      <c r="C11" s="13" t="s">
        <v>227</v>
      </c>
      <c r="D11" s="13" t="s">
        <v>70</v>
      </c>
      <c r="E11" s="14" t="s">
        <v>250</v>
      </c>
      <c r="F11" s="14" t="s">
        <v>61</v>
      </c>
      <c r="G11" s="13" t="s">
        <v>229</v>
      </c>
      <c r="H11" s="11" t="s">
        <v>61</v>
      </c>
      <c r="I11" s="12"/>
      <c r="J11" s="12"/>
    </row>
    <row r="12" customFormat="false" ht="23.85" hidden="false" customHeight="false" outlineLevel="0" collapsed="false">
      <c r="A12" s="8" t="s">
        <v>251</v>
      </c>
      <c r="B12" s="9" t="s">
        <v>252</v>
      </c>
      <c r="C12" s="8" t="s">
        <v>227</v>
      </c>
      <c r="D12" s="8" t="s">
        <v>70</v>
      </c>
      <c r="E12" s="9" t="s">
        <v>253</v>
      </c>
      <c r="F12" s="9" t="s">
        <v>61</v>
      </c>
      <c r="G12" s="8" t="s">
        <v>229</v>
      </c>
      <c r="H12" s="11" t="s">
        <v>61</v>
      </c>
      <c r="I12" s="12"/>
      <c r="J12" s="12"/>
    </row>
    <row r="13" customFormat="false" ht="23.85" hidden="false" customHeight="false" outlineLevel="0" collapsed="false">
      <c r="A13" s="13" t="s">
        <v>254</v>
      </c>
      <c r="B13" s="14" t="s">
        <v>255</v>
      </c>
      <c r="C13" s="13" t="s">
        <v>227</v>
      </c>
      <c r="D13" s="13" t="s">
        <v>76</v>
      </c>
      <c r="E13" s="14" t="s">
        <v>256</v>
      </c>
      <c r="F13" s="14" t="s">
        <v>61</v>
      </c>
      <c r="G13" s="13" t="s">
        <v>229</v>
      </c>
      <c r="H13" s="11" t="s">
        <v>61</v>
      </c>
      <c r="I13" s="12"/>
      <c r="J13" s="12"/>
    </row>
    <row r="14" customFormat="false" ht="15" hidden="false" customHeight="false" outlineLevel="0" collapsed="false">
      <c r="A14" s="8" t="s">
        <v>257</v>
      </c>
      <c r="B14" s="9" t="s">
        <v>90</v>
      </c>
      <c r="C14" s="8" t="s">
        <v>227</v>
      </c>
      <c r="D14" s="8" t="s">
        <v>85</v>
      </c>
      <c r="E14" s="9" t="s">
        <v>258</v>
      </c>
      <c r="F14" s="9" t="s">
        <v>61</v>
      </c>
      <c r="G14" s="8" t="s">
        <v>229</v>
      </c>
      <c r="H14" s="11" t="s">
        <v>61</v>
      </c>
      <c r="I14" s="12"/>
      <c r="J14" s="12"/>
    </row>
    <row r="15" customFormat="false" ht="23.85" hidden="false" customHeight="false" outlineLevel="0" collapsed="false">
      <c r="A15" s="13" t="s">
        <v>259</v>
      </c>
      <c r="B15" s="14" t="s">
        <v>97</v>
      </c>
      <c r="C15" s="13" t="s">
        <v>227</v>
      </c>
      <c r="D15" s="13" t="s">
        <v>91</v>
      </c>
      <c r="E15" s="14" t="s">
        <v>260</v>
      </c>
      <c r="F15" s="14" t="s">
        <v>61</v>
      </c>
      <c r="G15" s="13" t="s">
        <v>229</v>
      </c>
      <c r="H15" s="11" t="s">
        <v>61</v>
      </c>
      <c r="I15" s="12"/>
      <c r="J15" s="12"/>
    </row>
    <row r="16" customFormat="false" ht="23.85" hidden="false" customHeight="false" outlineLevel="0" collapsed="false">
      <c r="A16" s="8" t="s">
        <v>261</v>
      </c>
      <c r="B16" s="9" t="s">
        <v>262</v>
      </c>
      <c r="C16" s="8" t="s">
        <v>263</v>
      </c>
      <c r="D16" s="8" t="s">
        <v>264</v>
      </c>
      <c r="E16" s="9" t="s">
        <v>265</v>
      </c>
      <c r="F16" s="9" t="s">
        <v>266</v>
      </c>
      <c r="G16" s="8" t="s">
        <v>229</v>
      </c>
      <c r="H16" s="11" t="s">
        <v>61</v>
      </c>
      <c r="I16" s="12"/>
      <c r="J16" s="12"/>
    </row>
    <row r="17" customFormat="false" ht="23.85" hidden="false" customHeight="false" outlineLevel="0" collapsed="false">
      <c r="A17" s="13" t="s">
        <v>267</v>
      </c>
      <c r="B17" s="14" t="s">
        <v>268</v>
      </c>
      <c r="C17" s="13" t="s">
        <v>269</v>
      </c>
      <c r="D17" s="13" t="s">
        <v>270</v>
      </c>
      <c r="E17" s="14" t="s">
        <v>271</v>
      </c>
      <c r="F17" s="14" t="s">
        <v>272</v>
      </c>
      <c r="G17" s="13" t="s">
        <v>229</v>
      </c>
      <c r="H17" s="11" t="s">
        <v>61</v>
      </c>
      <c r="I17" s="12"/>
      <c r="J17" s="12"/>
    </row>
    <row r="18" customFormat="false" ht="23.85" hidden="false" customHeight="false" outlineLevel="0" collapsed="false">
      <c r="A18" s="8" t="s">
        <v>273</v>
      </c>
      <c r="B18" s="9" t="s">
        <v>274</v>
      </c>
      <c r="C18" s="8" t="s">
        <v>275</v>
      </c>
      <c r="D18" s="8" t="s">
        <v>270</v>
      </c>
      <c r="E18" s="9" t="s">
        <v>276</v>
      </c>
      <c r="F18" s="9" t="s">
        <v>277</v>
      </c>
      <c r="G18" s="8" t="s">
        <v>229</v>
      </c>
      <c r="H18" s="11" t="s">
        <v>61</v>
      </c>
      <c r="I18" s="12"/>
      <c r="J18" s="12"/>
    </row>
    <row r="19" customFormat="false" ht="23.85" hidden="false" customHeight="false" outlineLevel="0" collapsed="false">
      <c r="A19" s="13" t="s">
        <v>278</v>
      </c>
      <c r="B19" s="14" t="s">
        <v>279</v>
      </c>
      <c r="C19" s="13" t="s">
        <v>167</v>
      </c>
      <c r="D19" s="13" t="s">
        <v>280</v>
      </c>
      <c r="E19" s="14" t="s">
        <v>281</v>
      </c>
      <c r="F19" s="14" t="s">
        <v>282</v>
      </c>
      <c r="G19" s="13" t="s">
        <v>229</v>
      </c>
      <c r="H19" s="11" t="s">
        <v>61</v>
      </c>
      <c r="I19" s="12"/>
      <c r="J19" s="12"/>
    </row>
    <row r="20" customFormat="false" ht="15" hidden="false" customHeight="false" outlineLevel="0" collapsed="false">
      <c r="A20" s="8" t="s">
        <v>283</v>
      </c>
      <c r="B20" s="9" t="s">
        <v>284</v>
      </c>
      <c r="C20" s="8" t="s">
        <v>148</v>
      </c>
      <c r="D20" s="8" t="s">
        <v>285</v>
      </c>
      <c r="E20" s="9" t="s">
        <v>286</v>
      </c>
      <c r="F20" s="9" t="s">
        <v>287</v>
      </c>
      <c r="G20" s="8" t="s">
        <v>229</v>
      </c>
      <c r="H20" s="11" t="s">
        <v>61</v>
      </c>
      <c r="I20" s="12"/>
      <c r="J20" s="12"/>
    </row>
    <row r="21" customFormat="false" ht="23.85" hidden="false" customHeight="false" outlineLevel="0" collapsed="false">
      <c r="A21" s="13" t="s">
        <v>288</v>
      </c>
      <c r="B21" s="14" t="s">
        <v>289</v>
      </c>
      <c r="C21" s="13" t="s">
        <v>227</v>
      </c>
      <c r="D21" s="13" t="s">
        <v>181</v>
      </c>
      <c r="E21" s="14" t="s">
        <v>290</v>
      </c>
      <c r="F21" s="14" t="s">
        <v>61</v>
      </c>
      <c r="G21" s="13" t="s">
        <v>291</v>
      </c>
      <c r="H21" s="11" t="s">
        <v>61</v>
      </c>
      <c r="I21" s="12"/>
      <c r="J21" s="12"/>
    </row>
    <row r="22" customFormat="false" ht="23.85" hidden="false" customHeight="false" outlineLevel="0" collapsed="false">
      <c r="A22" s="8" t="s">
        <v>292</v>
      </c>
      <c r="B22" s="9" t="s">
        <v>293</v>
      </c>
      <c r="C22" s="8" t="s">
        <v>227</v>
      </c>
      <c r="D22" s="8" t="s">
        <v>181</v>
      </c>
      <c r="E22" s="9" t="s">
        <v>294</v>
      </c>
      <c r="F22" s="9" t="s">
        <v>61</v>
      </c>
      <c r="G22" s="8" t="s">
        <v>291</v>
      </c>
      <c r="H22" s="11" t="s">
        <v>61</v>
      </c>
      <c r="I22" s="12"/>
      <c r="J22" s="12"/>
    </row>
    <row r="23" customFormat="false" ht="23.85" hidden="false" customHeight="false" outlineLevel="0" collapsed="false">
      <c r="A23" s="13" t="s">
        <v>295</v>
      </c>
      <c r="B23" s="14" t="s">
        <v>296</v>
      </c>
      <c r="C23" s="13" t="s">
        <v>297</v>
      </c>
      <c r="D23" s="13" t="s">
        <v>298</v>
      </c>
      <c r="E23" s="14" t="s">
        <v>299</v>
      </c>
      <c r="F23" s="14" t="s">
        <v>300</v>
      </c>
      <c r="G23" s="13" t="s">
        <v>229</v>
      </c>
      <c r="H23" s="11" t="s">
        <v>61</v>
      </c>
      <c r="I23" s="12"/>
      <c r="J23" s="12"/>
    </row>
    <row r="24" customFormat="false" ht="23.85" hidden="false" customHeight="false" outlineLevel="0" collapsed="false">
      <c r="A24" s="8" t="s">
        <v>301</v>
      </c>
      <c r="B24" s="9" t="s">
        <v>302</v>
      </c>
      <c r="C24" s="8" t="s">
        <v>303</v>
      </c>
      <c r="D24" s="8" t="s">
        <v>304</v>
      </c>
      <c r="E24" s="9" t="s">
        <v>305</v>
      </c>
      <c r="F24" s="9" t="s">
        <v>306</v>
      </c>
      <c r="G24" s="8" t="s">
        <v>291</v>
      </c>
      <c r="H24" s="16" t="s">
        <v>194</v>
      </c>
      <c r="I24" s="12"/>
      <c r="J24" s="12"/>
    </row>
    <row r="25" customFormat="false" ht="15" hidden="false" customHeight="false" outlineLevel="0" collapsed="false">
      <c r="A25" s="13" t="s">
        <v>307</v>
      </c>
      <c r="B25" s="14" t="s">
        <v>308</v>
      </c>
      <c r="C25" s="13" t="s">
        <v>309</v>
      </c>
      <c r="D25" s="13" t="s">
        <v>310</v>
      </c>
      <c r="E25" s="14" t="s">
        <v>311</v>
      </c>
      <c r="F25" s="14" t="s">
        <v>312</v>
      </c>
      <c r="G25" s="13" t="s">
        <v>229</v>
      </c>
      <c r="H25" s="11" t="s">
        <v>61</v>
      </c>
      <c r="I25" s="12"/>
      <c r="J25" s="12"/>
    </row>
    <row r="26" customFormat="false" ht="23.85" hidden="false" customHeight="false" outlineLevel="0" collapsed="false">
      <c r="A26" s="8" t="s">
        <v>313</v>
      </c>
      <c r="B26" s="9" t="s">
        <v>314</v>
      </c>
      <c r="C26" s="8" t="s">
        <v>315</v>
      </c>
      <c r="D26" s="8" t="s">
        <v>310</v>
      </c>
      <c r="E26" s="9" t="s">
        <v>316</v>
      </c>
      <c r="F26" s="9" t="s">
        <v>317</v>
      </c>
      <c r="G26" s="8" t="s">
        <v>229</v>
      </c>
      <c r="H26" s="16" t="s">
        <v>318</v>
      </c>
      <c r="I26" s="12"/>
      <c r="J26" s="12"/>
    </row>
    <row r="28" customFormat="false" ht="15" hidden="false" customHeight="false" outlineLevel="0" collapsed="false">
      <c r="A28" s="5" t="s">
        <v>319</v>
      </c>
      <c r="D28" s="5" t="s">
        <v>320</v>
      </c>
      <c r="E28" s="5" t="str">
        <f aca="false">COUNTIF(H4:H26,"PASS")&amp;" of "&amp;COUNTA(H4:H26)</f>
        <v>21 of 23</v>
      </c>
    </row>
    <row r="29" customFormat="false" ht="15" hidden="false" customHeight="false" outlineLevel="0" collapsed="false">
      <c r="D29" s="3" t="s">
        <v>321</v>
      </c>
      <c r="E29" s="3" t="str">
        <f aca="false">COUNTIF('Defect Register'!J4:J14,"PASS")&amp;" of 8 code defects"</f>
        <v>7 of 8 code defects</v>
      </c>
    </row>
  </sheetData>
  <dataValidations count="1">
    <dataValidation allowBlank="true" errorStyle="stop" operator="between" showDropDown="false" showErrorMessage="false" showInputMessage="false" sqref="H4:H26" type="list">
      <formula1>"PASS,FAIL,KNOWN FAIL,SKIPPED"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26"/>
    <col collapsed="false" customWidth="true" hidden="false" outlineLevel="0" max="6" min="5" style="0" width="15"/>
    <col collapsed="false" customWidth="true" hidden="false" outlineLevel="0" max="7" min="7" style="0" width="10"/>
    <col collapsed="false" customWidth="true" hidden="false" outlineLevel="0" max="9" min="8" style="0" width="15"/>
    <col collapsed="false" customWidth="true" hidden="false" outlineLevel="0" max="10" min="10" style="0" width="16"/>
  </cols>
  <sheetData>
    <row r="1" customFormat="false" ht="17.35" hidden="false" customHeight="false" outlineLevel="0" collapsed="false">
      <c r="A1" s="6" t="s">
        <v>322</v>
      </c>
    </row>
    <row r="2" customFormat="false" ht="15" hidden="false" customHeight="false" outlineLevel="0" collapsed="false">
      <c r="A2" s="2" t="s">
        <v>323</v>
      </c>
    </row>
    <row r="3" customFormat="false" ht="30" hidden="false" customHeight="true" outlineLevel="0" collapsed="false">
      <c r="A3" s="7" t="s">
        <v>324</v>
      </c>
      <c r="B3" s="7" t="s">
        <v>325</v>
      </c>
      <c r="C3" s="7" t="s">
        <v>326</v>
      </c>
      <c r="D3" s="7" t="s">
        <v>327</v>
      </c>
      <c r="E3" s="7" t="s">
        <v>328</v>
      </c>
      <c r="F3" s="7" t="s">
        <v>329</v>
      </c>
      <c r="G3" s="7" t="s">
        <v>330</v>
      </c>
      <c r="H3" s="7" t="s">
        <v>331</v>
      </c>
      <c r="I3" s="7" t="s">
        <v>332</v>
      </c>
      <c r="J3" s="7" t="s">
        <v>333</v>
      </c>
    </row>
    <row r="4" customFormat="false" ht="15" hidden="false" customHeight="false" outlineLevel="0" collapsed="false">
      <c r="A4" s="8" t="s">
        <v>334</v>
      </c>
      <c r="B4" s="8" t="n">
        <v>100</v>
      </c>
      <c r="C4" s="8" t="s">
        <v>335</v>
      </c>
      <c r="D4" s="8" t="s">
        <v>336</v>
      </c>
      <c r="E4" s="22" t="n">
        <v>0.83</v>
      </c>
      <c r="F4" s="22" t="n">
        <v>0.947</v>
      </c>
      <c r="G4" s="23" t="n">
        <f aca="false">F4-E4</f>
        <v>0.117</v>
      </c>
      <c r="H4" s="22" t="n">
        <v>0.502</v>
      </c>
      <c r="I4" s="22" t="n">
        <v>0.856</v>
      </c>
      <c r="J4" s="17" t="str">
        <f aca="false">IF(G4&gt;0.05,"Improved",IF(G4&gt;=0,"Unchanged","REGRESSED"))</f>
        <v>Improved</v>
      </c>
    </row>
    <row r="5" customFormat="false" ht="15" hidden="false" customHeight="false" outlineLevel="0" collapsed="false">
      <c r="A5" s="13" t="s">
        <v>334</v>
      </c>
      <c r="B5" s="13" t="n">
        <v>100</v>
      </c>
      <c r="C5" s="13" t="s">
        <v>335</v>
      </c>
      <c r="D5" s="13" t="s">
        <v>337</v>
      </c>
      <c r="E5" s="24" t="n">
        <v>0.804</v>
      </c>
      <c r="F5" s="24" t="n">
        <v>1</v>
      </c>
      <c r="G5" s="25" t="n">
        <f aca="false">F5-E5</f>
        <v>0.196</v>
      </c>
      <c r="H5" s="24" t="n">
        <v>0.47</v>
      </c>
      <c r="I5" s="24" t="n">
        <v>1</v>
      </c>
      <c r="J5" s="26" t="str">
        <f aca="false">IF(G5&gt;0.05,"Improved",IF(G5&gt;=0,"Unchanged","REGRESSED"))</f>
        <v>Improved</v>
      </c>
    </row>
    <row r="6" customFormat="false" ht="15" hidden="false" customHeight="false" outlineLevel="0" collapsed="false">
      <c r="A6" s="8" t="s">
        <v>334</v>
      </c>
      <c r="B6" s="8" t="n">
        <v>100</v>
      </c>
      <c r="C6" s="8" t="s">
        <v>338</v>
      </c>
      <c r="D6" s="8" t="s">
        <v>336</v>
      </c>
      <c r="E6" s="22" t="n">
        <v>0.699</v>
      </c>
      <c r="F6" s="22" t="n">
        <v>0.811</v>
      </c>
      <c r="G6" s="23" t="n">
        <f aca="false">F6-E6</f>
        <v>0.112</v>
      </c>
      <c r="H6" s="22" t="n">
        <v>0.342</v>
      </c>
      <c r="I6" s="22" t="n">
        <v>0.69</v>
      </c>
      <c r="J6" s="17" t="str">
        <f aca="false">IF(G6&gt;0.05,"Improved",IF(G6&gt;=0,"Unchanged","REGRESSED"))</f>
        <v>Improved</v>
      </c>
    </row>
    <row r="7" customFormat="false" ht="15" hidden="false" customHeight="false" outlineLevel="0" collapsed="false">
      <c r="A7" s="13" t="s">
        <v>334</v>
      </c>
      <c r="B7" s="13" t="n">
        <v>100</v>
      </c>
      <c r="C7" s="13" t="s">
        <v>338</v>
      </c>
      <c r="D7" s="13" t="s">
        <v>339</v>
      </c>
      <c r="E7" s="24" t="n">
        <v>0.445</v>
      </c>
      <c r="F7" s="24" t="n">
        <v>0.976</v>
      </c>
      <c r="G7" s="25" t="n">
        <f aca="false">F7-E7</f>
        <v>0.531</v>
      </c>
      <c r="H7" s="24" t="n">
        <v>0.236</v>
      </c>
      <c r="I7" s="24" t="n">
        <v>0.955</v>
      </c>
      <c r="J7" s="26" t="str">
        <f aca="false">IF(G7&gt;0.05,"Improved",IF(G7&gt;=0,"Unchanged","REGRESSED"))</f>
        <v>Improved</v>
      </c>
    </row>
    <row r="8" customFormat="false" ht="15" hidden="false" customHeight="false" outlineLevel="0" collapsed="false">
      <c r="A8" s="8" t="s">
        <v>340</v>
      </c>
      <c r="B8" s="8" t="n">
        <v>100</v>
      </c>
      <c r="C8" s="8" t="s">
        <v>335</v>
      </c>
      <c r="D8" s="8" t="s">
        <v>336</v>
      </c>
      <c r="E8" s="22" t="n">
        <v>0.864</v>
      </c>
      <c r="F8" s="22" t="n">
        <v>0.958</v>
      </c>
      <c r="G8" s="23" t="n">
        <f aca="false">F8-E8</f>
        <v>0.094</v>
      </c>
      <c r="H8" s="22" t="n">
        <v>0.695</v>
      </c>
      <c r="I8" s="22" t="n">
        <v>0.931</v>
      </c>
      <c r="J8" s="17" t="str">
        <f aca="false">IF(G8&gt;0.05,"Improved",IF(G8&gt;=0,"Unchanged","REGRESSED"))</f>
        <v>Improved</v>
      </c>
    </row>
    <row r="9" customFormat="false" ht="15" hidden="false" customHeight="false" outlineLevel="0" collapsed="false">
      <c r="A9" s="13" t="s">
        <v>340</v>
      </c>
      <c r="B9" s="13" t="n">
        <v>100</v>
      </c>
      <c r="C9" s="13" t="s">
        <v>335</v>
      </c>
      <c r="D9" s="13" t="s">
        <v>337</v>
      </c>
      <c r="E9" s="24" t="n">
        <v>0.446</v>
      </c>
      <c r="F9" s="24" t="n">
        <v>1</v>
      </c>
      <c r="G9" s="25" t="n">
        <f aca="false">F9-E9</f>
        <v>0.554</v>
      </c>
      <c r="H9" s="24" t="n">
        <v>0.351</v>
      </c>
      <c r="I9" s="24" t="n">
        <v>1</v>
      </c>
      <c r="J9" s="26" t="str">
        <f aca="false">IF(G9&gt;0.05,"Improved",IF(G9&gt;=0,"Unchanged","REGRESSED"))</f>
        <v>Improved</v>
      </c>
    </row>
    <row r="10" customFormat="false" ht="15" hidden="false" customHeight="false" outlineLevel="0" collapsed="false">
      <c r="A10" s="8" t="s">
        <v>340</v>
      </c>
      <c r="B10" s="8" t="n">
        <v>100</v>
      </c>
      <c r="C10" s="8" t="s">
        <v>338</v>
      </c>
      <c r="D10" s="8" t="s">
        <v>336</v>
      </c>
      <c r="E10" s="22" t="n">
        <v>0.79</v>
      </c>
      <c r="F10" s="22" t="n">
        <v>0.837</v>
      </c>
      <c r="G10" s="23" t="n">
        <f aca="false">F10-E10</f>
        <v>0.0469999999999999</v>
      </c>
      <c r="H10" s="22" t="n">
        <v>0.554</v>
      </c>
      <c r="I10" s="22" t="n">
        <v>0.756</v>
      </c>
      <c r="J10" s="17" t="str">
        <f aca="false">IF(G10&gt;0.05,"Improved",IF(G10&gt;=0,"Unchanged","REGRESSED"))</f>
        <v>Unchanged</v>
      </c>
    </row>
    <row r="11" customFormat="false" ht="15" hidden="false" customHeight="false" outlineLevel="0" collapsed="false">
      <c r="A11" s="13" t="s">
        <v>340</v>
      </c>
      <c r="B11" s="13" t="n">
        <v>100</v>
      </c>
      <c r="C11" s="13" t="s">
        <v>338</v>
      </c>
      <c r="D11" s="13" t="s">
        <v>339</v>
      </c>
      <c r="E11" s="24" t="n">
        <v>0.589</v>
      </c>
      <c r="F11" s="24" t="n">
        <v>0.953</v>
      </c>
      <c r="G11" s="25" t="n">
        <f aca="false">F11-E11</f>
        <v>0.364</v>
      </c>
      <c r="H11" s="24" t="n">
        <v>0.248</v>
      </c>
      <c r="I11" s="24" t="n">
        <v>0.89</v>
      </c>
      <c r="J11" s="26" t="str">
        <f aca="false">IF(G11&gt;0.05,"Improved",IF(G11&gt;=0,"Unchanged","REGRESSED"))</f>
        <v>Improved</v>
      </c>
    </row>
    <row r="12" customFormat="false" ht="15" hidden="false" customHeight="false" outlineLevel="0" collapsed="false">
      <c r="A12" s="8" t="s">
        <v>341</v>
      </c>
      <c r="B12" s="8" t="n">
        <v>1001</v>
      </c>
      <c r="C12" s="8" t="s">
        <v>335</v>
      </c>
      <c r="D12" s="8" t="s">
        <v>336</v>
      </c>
      <c r="E12" s="22" t="n">
        <v>0.837</v>
      </c>
      <c r="F12" s="22" t="n">
        <v>0.955</v>
      </c>
      <c r="G12" s="23" t="n">
        <f aca="false">F12-E12</f>
        <v>0.118</v>
      </c>
      <c r="H12" s="22" t="n">
        <v>0.484</v>
      </c>
      <c r="I12" s="22" t="n">
        <v>0.895</v>
      </c>
      <c r="J12" s="17" t="str">
        <f aca="false">IF(G12&gt;0.05,"Improved",IF(G12&gt;=0,"Unchanged","REGRESSED"))</f>
        <v>Improved</v>
      </c>
    </row>
    <row r="13" customFormat="false" ht="15" hidden="false" customHeight="false" outlineLevel="0" collapsed="false">
      <c r="A13" s="13" t="s">
        <v>341</v>
      </c>
      <c r="B13" s="13" t="n">
        <v>1001</v>
      </c>
      <c r="C13" s="13" t="s">
        <v>335</v>
      </c>
      <c r="D13" s="13" t="s">
        <v>337</v>
      </c>
      <c r="E13" s="24" t="n">
        <v>0.538</v>
      </c>
      <c r="F13" s="24" t="n">
        <v>1</v>
      </c>
      <c r="G13" s="25" t="n">
        <f aca="false">F13-E13</f>
        <v>0.462</v>
      </c>
      <c r="H13" s="24" t="n">
        <v>0.232</v>
      </c>
      <c r="I13" s="24" t="n">
        <v>1</v>
      </c>
      <c r="J13" s="26" t="str">
        <f aca="false">IF(G13&gt;0.05,"Improved",IF(G13&gt;=0,"Unchanged","REGRESSED"))</f>
        <v>Improved</v>
      </c>
    </row>
    <row r="14" customFormat="false" ht="15" hidden="false" customHeight="false" outlineLevel="0" collapsed="false">
      <c r="A14" s="8" t="s">
        <v>341</v>
      </c>
      <c r="B14" s="8" t="n">
        <v>1001</v>
      </c>
      <c r="C14" s="8" t="s">
        <v>338</v>
      </c>
      <c r="D14" s="8" t="s">
        <v>336</v>
      </c>
      <c r="E14" s="22" t="n">
        <v>0.654</v>
      </c>
      <c r="F14" s="22" t="n">
        <v>0.999</v>
      </c>
      <c r="G14" s="23" t="n">
        <f aca="false">F14-E14</f>
        <v>0.345</v>
      </c>
      <c r="H14" s="22" t="n">
        <v>0.211</v>
      </c>
      <c r="I14" s="22" t="n">
        <v>0.99</v>
      </c>
      <c r="J14" s="17" t="str">
        <f aca="false">IF(G14&gt;0.05,"Improved",IF(G14&gt;=0,"Unchanged","REGRESSED"))</f>
        <v>Improved</v>
      </c>
    </row>
    <row r="15" customFormat="false" ht="15" hidden="false" customHeight="false" outlineLevel="0" collapsed="false">
      <c r="A15" s="13" t="s">
        <v>341</v>
      </c>
      <c r="B15" s="13" t="n">
        <v>1001</v>
      </c>
      <c r="C15" s="13" t="s">
        <v>338</v>
      </c>
      <c r="D15" s="13" t="s">
        <v>339</v>
      </c>
      <c r="E15" s="24" t="n">
        <v>0.554</v>
      </c>
      <c r="F15" s="24" t="n">
        <v>1</v>
      </c>
      <c r="G15" s="25" t="n">
        <f aca="false">F15-E15</f>
        <v>0.446</v>
      </c>
      <c r="H15" s="24" t="n">
        <v>0.085</v>
      </c>
      <c r="I15" s="24" t="n">
        <v>1</v>
      </c>
      <c r="J15" s="26" t="str">
        <f aca="false">IF(G15&gt;0.05,"Improved",IF(G15&gt;=0,"Unchanged","REGRESSED"))</f>
        <v>Improved</v>
      </c>
    </row>
    <row r="17" customFormat="false" ht="15" hidden="false" customHeight="false" outlineLevel="0" collapsed="false">
      <c r="D17" s="5" t="s">
        <v>342</v>
      </c>
      <c r="G17" s="27" t="n">
        <f aca="false">AVERAGE(G4:G15)</f>
        <v>0.282166666666667</v>
      </c>
    </row>
    <row r="18" customFormat="false" ht="15" hidden="false" customHeight="false" outlineLevel="0" collapsed="false">
      <c r="D18" s="5" t="s">
        <v>343</v>
      </c>
      <c r="G18" s="5" t="str">
        <f aca="false">IF(COUNTIF(J4:J15,"REGRESSED")=0,"NO - all clear","YES - INVESTIGATE")</f>
        <v>NO - all clear</v>
      </c>
    </row>
    <row r="20" customFormat="false" ht="15" hidden="false" customHeight="false" outlineLevel="0" collapsed="false">
      <c r="A20" s="2" t="s">
        <v>344</v>
      </c>
    </row>
  </sheetData>
  <conditionalFormatting sqref="J4:J15">
    <cfRule type="cellIs" priority="2" operator="equal" aboveAverage="0" equalAverage="0" bottom="0" percent="0" rank="0" text="" dxfId="0">
      <formula>"REGRESSED"</formula>
    </cfRule>
    <cfRule type="cellIs" priority="3" operator="equal" aboveAverage="0" equalAverage="0" bottom="0" percent="0" rank="0" text="" dxfId="1">
      <formula>"Improved"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24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9" min="9" style="0" width="30"/>
  </cols>
  <sheetData>
    <row r="1" customFormat="false" ht="17.35" hidden="false" customHeight="false" outlineLevel="0" collapsed="false">
      <c r="A1" s="6" t="s">
        <v>345</v>
      </c>
    </row>
    <row r="2" customFormat="false" ht="15" hidden="false" customHeight="false" outlineLevel="0" collapsed="false">
      <c r="A2" s="2" t="s">
        <v>346</v>
      </c>
    </row>
    <row r="3" customFormat="false" ht="30" hidden="false" customHeight="true" outlineLevel="0" collapsed="false">
      <c r="A3" s="7" t="s">
        <v>324</v>
      </c>
      <c r="B3" s="7" t="s">
        <v>325</v>
      </c>
      <c r="C3" s="7" t="s">
        <v>347</v>
      </c>
      <c r="D3" s="7" t="s">
        <v>348</v>
      </c>
      <c r="E3" s="7" t="s">
        <v>349</v>
      </c>
      <c r="F3" s="7" t="s">
        <v>350</v>
      </c>
      <c r="G3" s="7" t="s">
        <v>351</v>
      </c>
      <c r="H3" s="7" t="s">
        <v>352</v>
      </c>
      <c r="I3" s="7" t="s">
        <v>353</v>
      </c>
    </row>
    <row r="4" customFormat="false" ht="15" hidden="false" customHeight="false" outlineLevel="0" collapsed="false">
      <c r="A4" s="8" t="s">
        <v>334</v>
      </c>
      <c r="B4" s="8" t="n">
        <v>100</v>
      </c>
      <c r="C4" s="22" t="n">
        <v>0.75</v>
      </c>
      <c r="D4" s="22" t="n">
        <v>0.222</v>
      </c>
      <c r="E4" s="22" t="n">
        <v>0.501</v>
      </c>
      <c r="F4" s="22" t="n">
        <v>1.554</v>
      </c>
      <c r="G4" s="22" t="n">
        <v>5</v>
      </c>
      <c r="H4" s="8" t="s">
        <v>354</v>
      </c>
      <c r="I4" s="17" t="str">
        <f aca="false">IF(AND(F4&lt;0.5,E4&lt;0.1),"Publication-grade","Insufficient sampling")</f>
        <v>Insufficient sampling</v>
      </c>
    </row>
    <row r="5" customFormat="false" ht="15" hidden="false" customHeight="false" outlineLevel="0" collapsed="false">
      <c r="A5" s="13" t="s">
        <v>340</v>
      </c>
      <c r="B5" s="13" t="n">
        <v>100</v>
      </c>
      <c r="C5" s="24" t="n">
        <v>0.938</v>
      </c>
      <c r="D5" s="24" t="n">
        <v>0.24</v>
      </c>
      <c r="E5" s="24" t="n">
        <v>0.029</v>
      </c>
      <c r="F5" s="24" t="n">
        <v>1.105</v>
      </c>
      <c r="G5" s="24" t="n">
        <v>5</v>
      </c>
      <c r="H5" s="13" t="s">
        <v>354</v>
      </c>
      <c r="I5" s="26" t="str">
        <f aca="false">IF(AND(F5&lt;0.5,E5&lt;0.1),"Publication-grade","Insufficient sampling")</f>
        <v>Insufficient sampling</v>
      </c>
    </row>
    <row r="6" customFormat="false" ht="15" hidden="false" customHeight="false" outlineLevel="0" collapsed="false">
      <c r="A6" s="8" t="s">
        <v>355</v>
      </c>
      <c r="B6" s="8" t="n">
        <v>100</v>
      </c>
      <c r="C6" s="22" t="n">
        <v>0.75</v>
      </c>
      <c r="D6" s="22" t="n">
        <v>0.248</v>
      </c>
      <c r="E6" s="22" t="n">
        <v>0.089</v>
      </c>
      <c r="F6" s="22" t="n">
        <v>1.534</v>
      </c>
      <c r="G6" s="22" t="n">
        <v>5</v>
      </c>
      <c r="H6" s="8" t="s">
        <v>354</v>
      </c>
      <c r="I6" s="17" t="str">
        <f aca="false">IF(AND(F6&lt;0.5,E6&lt;0.1),"Publication-grade","Insufficient sampling")</f>
        <v>Insufficient sampling</v>
      </c>
    </row>
    <row r="7" customFormat="false" ht="15" hidden="false" customHeight="false" outlineLevel="0" collapsed="false">
      <c r="A7" s="13" t="s">
        <v>341</v>
      </c>
      <c r="B7" s="13" t="n">
        <v>1001</v>
      </c>
      <c r="C7" s="24" t="n">
        <v>0.625</v>
      </c>
      <c r="D7" s="24" t="n">
        <v>0.316</v>
      </c>
      <c r="E7" s="24" t="n">
        <v>0.061</v>
      </c>
      <c r="F7" s="24" t="n">
        <v>0.559</v>
      </c>
      <c r="G7" s="24"/>
      <c r="H7" s="13" t="s">
        <v>356</v>
      </c>
      <c r="I7" s="26" t="str">
        <f aca="false">IF(AND(F7&lt;0.5,E7&lt;0.1),"Publication-grade","Insufficient sampling")</f>
        <v>Insufficient sampling</v>
      </c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</row>
    <row r="10" customFormat="false" ht="15" hidden="false" customHeight="false" outlineLevel="0" collapsed="false">
      <c r="A10" s="5" t="s">
        <v>357</v>
      </c>
      <c r="B10" s="5"/>
      <c r="C10" s="5"/>
      <c r="D10" s="5"/>
      <c r="E10" s="5"/>
      <c r="F10" s="5"/>
      <c r="G10" s="5"/>
      <c r="H10" s="5"/>
      <c r="I10" s="5"/>
    </row>
    <row r="11" customFormat="false" ht="15" hidden="false" customHeight="false" outlineLevel="0" collapsed="false">
      <c r="A11" s="2" t="s">
        <v>358</v>
      </c>
      <c r="B11" s="2"/>
      <c r="C11" s="2" t="s">
        <v>359</v>
      </c>
      <c r="D11" s="2"/>
      <c r="E11" s="2"/>
      <c r="F11" s="2"/>
      <c r="G11" s="2"/>
      <c r="H11" s="2"/>
      <c r="I11" s="2"/>
    </row>
    <row r="12" customFormat="false" ht="15" hidden="false" customHeight="false" outlineLevel="0" collapsed="false">
      <c r="A12" s="2" t="s">
        <v>360</v>
      </c>
      <c r="B12" s="2"/>
      <c r="C12" s="2" t="s">
        <v>361</v>
      </c>
      <c r="D12" s="2"/>
      <c r="E12" s="2"/>
      <c r="F12" s="2"/>
      <c r="G12" s="2"/>
      <c r="H12" s="2"/>
      <c r="I12" s="2"/>
    </row>
    <row r="13" customFormat="false" ht="15" hidden="false" customHeight="false" outlineLevel="0" collapsed="false">
      <c r="A13" s="2" t="s">
        <v>362</v>
      </c>
      <c r="B13" s="2"/>
      <c r="C13" s="2" t="s">
        <v>363</v>
      </c>
      <c r="D13" s="2"/>
      <c r="E13" s="2"/>
      <c r="F13" s="2"/>
      <c r="G13" s="2"/>
      <c r="H13" s="2"/>
      <c r="I13" s="2"/>
    </row>
    <row r="14" customFormat="false" ht="15" hidden="false" customHeight="false" outlineLevel="0" collapsed="false">
      <c r="A14" s="2" t="s">
        <v>364</v>
      </c>
      <c r="B14" s="2"/>
      <c r="C14" s="2" t="s">
        <v>365</v>
      </c>
      <c r="D14" s="2"/>
      <c r="E14" s="2"/>
      <c r="F14" s="2"/>
      <c r="G14" s="2"/>
      <c r="H14" s="2"/>
      <c r="I14" s="2"/>
    </row>
  </sheetData>
  <conditionalFormatting sqref="I4:I7">
    <cfRule type="cellIs" priority="2" operator="equal" aboveAverage="0" equalAverage="0" bottom="0" percent="0" rank="0" text="" dxfId="2">
      <formula>"Insufficient sampling"</formula>
    </cfRule>
    <cfRule type="cellIs" priority="3" operator="equal" aboveAverage="0" equalAverage="0" bottom="0" percent="0" rank="0" text="" dxfId="1">
      <formula>"Publication-grade"</formula>
    </cfRule>
  </conditionalFormatting>
  <conditionalFormatting sqref="F4:F7">
    <cfRule type="cellIs" priority="4" operator="greaterThan" aboveAverage="0" equalAverage="0" bottom="0" percent="0" rank="0" text="" dxfId="2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52"/>
  </cols>
  <sheetData>
    <row r="1" customFormat="false" ht="17.35" hidden="false" customHeight="false" outlineLevel="0" collapsed="false">
      <c r="A1" s="6" t="s">
        <v>366</v>
      </c>
    </row>
    <row r="2" customFormat="false" ht="15" hidden="false" customHeight="false" outlineLevel="0" collapsed="false">
      <c r="A2" s="2" t="s">
        <v>367</v>
      </c>
    </row>
    <row r="3" customFormat="false" ht="30" hidden="false" customHeight="true" outlineLevel="0" collapsed="false">
      <c r="A3" s="7" t="s">
        <v>368</v>
      </c>
      <c r="B3" s="7" t="s">
        <v>324</v>
      </c>
      <c r="C3" s="7" t="s">
        <v>369</v>
      </c>
      <c r="D3" s="7" t="s">
        <v>370</v>
      </c>
      <c r="E3" s="7" t="s">
        <v>371</v>
      </c>
      <c r="F3" s="7" t="s">
        <v>372</v>
      </c>
      <c r="G3" s="7" t="s">
        <v>373</v>
      </c>
    </row>
    <row r="4" customFormat="false" ht="23.85" hidden="false" customHeight="false" outlineLevel="0" collapsed="false">
      <c r="A4" s="8" t="s">
        <v>374</v>
      </c>
      <c r="B4" s="8" t="s">
        <v>340</v>
      </c>
      <c r="C4" s="9" t="s">
        <v>375</v>
      </c>
      <c r="D4" s="8" t="s">
        <v>376</v>
      </c>
      <c r="E4" s="22" t="n">
        <v>0.595</v>
      </c>
      <c r="F4" s="8" t="s">
        <v>356</v>
      </c>
      <c r="G4" s="9" t="s">
        <v>377</v>
      </c>
    </row>
    <row r="5" customFormat="false" ht="23.85" hidden="false" customHeight="false" outlineLevel="0" collapsed="false">
      <c r="A5" s="13" t="s">
        <v>374</v>
      </c>
      <c r="B5" s="13" t="s">
        <v>340</v>
      </c>
      <c r="C5" s="14" t="s">
        <v>378</v>
      </c>
      <c r="D5" s="13" t="s">
        <v>379</v>
      </c>
      <c r="E5" s="24" t="n">
        <v>0.642</v>
      </c>
      <c r="F5" s="13" t="s">
        <v>356</v>
      </c>
      <c r="G5" s="14" t="s">
        <v>380</v>
      </c>
    </row>
    <row r="6" customFormat="false" ht="15" hidden="false" customHeight="false" outlineLevel="0" collapsed="false">
      <c r="A6" s="8" t="s">
        <v>374</v>
      </c>
      <c r="B6" s="8" t="s">
        <v>355</v>
      </c>
      <c r="C6" s="9" t="s">
        <v>381</v>
      </c>
      <c r="D6" s="8" t="s">
        <v>376</v>
      </c>
      <c r="E6" s="22" t="n">
        <v>0.573</v>
      </c>
      <c r="F6" s="8" t="s">
        <v>356</v>
      </c>
      <c r="G6" s="9" t="s">
        <v>382</v>
      </c>
    </row>
    <row r="7" customFormat="false" ht="15" hidden="false" customHeight="false" outlineLevel="0" collapsed="false">
      <c r="A7" s="13" t="s">
        <v>374</v>
      </c>
      <c r="B7" s="13" t="s">
        <v>355</v>
      </c>
      <c r="C7" s="14" t="s">
        <v>383</v>
      </c>
      <c r="D7" s="13" t="s">
        <v>379</v>
      </c>
      <c r="E7" s="24" t="n">
        <v>0.656</v>
      </c>
      <c r="F7" s="13" t="s">
        <v>356</v>
      </c>
      <c r="G7" s="14"/>
    </row>
    <row r="8" customFormat="false" ht="15" hidden="false" customHeight="false" outlineLevel="0" collapsed="false">
      <c r="A8" s="8" t="s">
        <v>374</v>
      </c>
      <c r="B8" s="8" t="s">
        <v>334</v>
      </c>
      <c r="C8" s="9" t="s">
        <v>384</v>
      </c>
      <c r="D8" s="8" t="s">
        <v>356</v>
      </c>
      <c r="E8" s="22"/>
      <c r="F8" s="8" t="s">
        <v>356</v>
      </c>
      <c r="G8" s="9" t="s">
        <v>385</v>
      </c>
    </row>
    <row r="9" customFormat="false" ht="15" hidden="false" customHeight="false" outlineLevel="0" collapsed="false">
      <c r="A9" s="28" t="s">
        <v>386</v>
      </c>
      <c r="B9" s="28" t="s">
        <v>334</v>
      </c>
      <c r="C9" s="29" t="s">
        <v>387</v>
      </c>
      <c r="D9" s="28" t="s">
        <v>388</v>
      </c>
      <c r="E9" s="30" t="n">
        <v>0.947</v>
      </c>
      <c r="F9" s="28" t="s">
        <v>389</v>
      </c>
      <c r="G9" s="29" t="s">
        <v>390</v>
      </c>
    </row>
    <row r="10" customFormat="false" ht="15" hidden="false" customHeight="false" outlineLevel="0" collapsed="false">
      <c r="A10" s="8" t="s">
        <v>386</v>
      </c>
      <c r="B10" s="8" t="s">
        <v>334</v>
      </c>
      <c r="C10" s="9" t="s">
        <v>391</v>
      </c>
      <c r="D10" s="8" t="s">
        <v>388</v>
      </c>
      <c r="E10" s="22" t="n">
        <v>0.752</v>
      </c>
      <c r="F10" s="8"/>
      <c r="G10" s="9"/>
    </row>
    <row r="11" customFormat="false" ht="15" hidden="false" customHeight="false" outlineLevel="0" collapsed="false">
      <c r="A11" s="13" t="s">
        <v>386</v>
      </c>
      <c r="B11" s="13" t="s">
        <v>334</v>
      </c>
      <c r="C11" s="14" t="s">
        <v>392</v>
      </c>
      <c r="D11" s="13" t="s">
        <v>388</v>
      </c>
      <c r="E11" s="24" t="n">
        <v>0.835</v>
      </c>
      <c r="F11" s="13"/>
      <c r="G11" s="14"/>
    </row>
    <row r="12" customFormat="false" ht="15" hidden="false" customHeight="false" outlineLevel="0" collapsed="false">
      <c r="A12" s="8" t="s">
        <v>386</v>
      </c>
      <c r="B12" s="8" t="s">
        <v>334</v>
      </c>
      <c r="C12" s="9" t="s">
        <v>393</v>
      </c>
      <c r="D12" s="8" t="s">
        <v>388</v>
      </c>
      <c r="E12" s="22" t="n">
        <v>0.867</v>
      </c>
      <c r="F12" s="8"/>
      <c r="G12" s="9" t="s">
        <v>394</v>
      </c>
    </row>
    <row r="13" customFormat="false" ht="15" hidden="false" customHeight="false" outlineLevel="0" collapsed="false">
      <c r="A13" s="28" t="s">
        <v>386</v>
      </c>
      <c r="B13" s="28" t="s">
        <v>340</v>
      </c>
      <c r="C13" s="29" t="s">
        <v>387</v>
      </c>
      <c r="D13" s="28" t="s">
        <v>388</v>
      </c>
      <c r="E13" s="30" t="n">
        <v>0.958</v>
      </c>
      <c r="F13" s="28" t="s">
        <v>389</v>
      </c>
      <c r="G13" s="29" t="s">
        <v>390</v>
      </c>
    </row>
    <row r="14" customFormat="false" ht="15" hidden="false" customHeight="false" outlineLevel="0" collapsed="false">
      <c r="A14" s="8" t="s">
        <v>386</v>
      </c>
      <c r="B14" s="8" t="s">
        <v>340</v>
      </c>
      <c r="C14" s="9" t="s">
        <v>391</v>
      </c>
      <c r="D14" s="8" t="s">
        <v>388</v>
      </c>
      <c r="E14" s="22" t="n">
        <v>0.879</v>
      </c>
      <c r="F14" s="8"/>
      <c r="G14" s="9"/>
    </row>
    <row r="15" customFormat="false" ht="15" hidden="false" customHeight="false" outlineLevel="0" collapsed="false">
      <c r="A15" s="13" t="s">
        <v>386</v>
      </c>
      <c r="B15" s="13" t="s">
        <v>340</v>
      </c>
      <c r="C15" s="14" t="s">
        <v>392</v>
      </c>
      <c r="D15" s="13" t="s">
        <v>388</v>
      </c>
      <c r="E15" s="24" t="n">
        <v>0.934</v>
      </c>
      <c r="F15" s="13"/>
      <c r="G15" s="14"/>
    </row>
    <row r="16" customFormat="false" ht="15" hidden="false" customHeight="false" outlineLevel="0" collapsed="false">
      <c r="A16" s="28" t="s">
        <v>386</v>
      </c>
      <c r="B16" s="28" t="s">
        <v>355</v>
      </c>
      <c r="C16" s="29" t="s">
        <v>387</v>
      </c>
      <c r="D16" s="28" t="s">
        <v>388</v>
      </c>
      <c r="E16" s="30" t="n">
        <v>0.904</v>
      </c>
      <c r="F16" s="28" t="s">
        <v>389</v>
      </c>
      <c r="G16" s="29" t="s">
        <v>390</v>
      </c>
    </row>
    <row r="17" customFormat="false" ht="15" hidden="false" customHeight="false" outlineLevel="0" collapsed="false">
      <c r="A17" s="13" t="s">
        <v>386</v>
      </c>
      <c r="B17" s="13" t="s">
        <v>355</v>
      </c>
      <c r="C17" s="14" t="s">
        <v>391</v>
      </c>
      <c r="D17" s="13" t="s">
        <v>388</v>
      </c>
      <c r="E17" s="24" t="n">
        <v>0.696</v>
      </c>
      <c r="F17" s="13"/>
      <c r="G17" s="14"/>
    </row>
    <row r="18" customFormat="false" ht="15" hidden="false" customHeight="false" outlineLevel="0" collapsed="false">
      <c r="A18" s="8" t="s">
        <v>386</v>
      </c>
      <c r="B18" s="8" t="s">
        <v>355</v>
      </c>
      <c r="C18" s="9" t="s">
        <v>392</v>
      </c>
      <c r="D18" s="8" t="s">
        <v>388</v>
      </c>
      <c r="E18" s="22" t="n">
        <v>0.694</v>
      </c>
      <c r="F18" s="8"/>
      <c r="G18" s="9"/>
    </row>
    <row r="19" customFormat="false" ht="15" hidden="false" customHeight="false" outlineLevel="0" collapsed="false">
      <c r="A19" s="28" t="s">
        <v>386</v>
      </c>
      <c r="B19" s="28" t="s">
        <v>341</v>
      </c>
      <c r="C19" s="29" t="s">
        <v>387</v>
      </c>
      <c r="D19" s="28" t="s">
        <v>388</v>
      </c>
      <c r="E19" s="30" t="n">
        <v>0.955</v>
      </c>
      <c r="F19" s="28" t="s">
        <v>389</v>
      </c>
      <c r="G19" s="29" t="s">
        <v>390</v>
      </c>
    </row>
    <row r="20" customFormat="false" ht="15" hidden="false" customHeight="false" outlineLevel="0" collapsed="false">
      <c r="A20" s="8" t="s">
        <v>386</v>
      </c>
      <c r="B20" s="8" t="s">
        <v>341</v>
      </c>
      <c r="C20" s="9" t="s">
        <v>391</v>
      </c>
      <c r="D20" s="8" t="s">
        <v>388</v>
      </c>
      <c r="E20" s="22" t="n">
        <v>0.845</v>
      </c>
      <c r="F20" s="8"/>
      <c r="G20" s="9"/>
    </row>
    <row r="21" customFormat="false" ht="15" hidden="false" customHeight="false" outlineLevel="0" collapsed="false">
      <c r="A21" s="13" t="s">
        <v>386</v>
      </c>
      <c r="B21" s="13" t="s">
        <v>341</v>
      </c>
      <c r="C21" s="14" t="s">
        <v>392</v>
      </c>
      <c r="D21" s="13" t="s">
        <v>388</v>
      </c>
      <c r="E21" s="24" t="n">
        <v>0.49</v>
      </c>
      <c r="F21" s="13"/>
      <c r="G21" s="14" t="s">
        <v>395</v>
      </c>
    </row>
    <row r="22" customFormat="false" ht="15" hidden="false" customHeight="false" outlineLevel="0" collapsed="false">
      <c r="A22" s="8" t="s">
        <v>396</v>
      </c>
      <c r="B22" s="8" t="s">
        <v>355</v>
      </c>
      <c r="C22" s="9" t="s">
        <v>391</v>
      </c>
      <c r="D22" s="8" t="s">
        <v>397</v>
      </c>
      <c r="E22" s="31" t="n">
        <v>0.432</v>
      </c>
      <c r="F22" s="8" t="s">
        <v>398</v>
      </c>
      <c r="G22" s="9" t="s">
        <v>399</v>
      </c>
    </row>
    <row r="23" customFormat="false" ht="15" hidden="false" customHeight="false" outlineLevel="0" collapsed="false">
      <c r="A23" s="13" t="s">
        <v>396</v>
      </c>
      <c r="B23" s="13" t="s">
        <v>355</v>
      </c>
      <c r="C23" s="14" t="s">
        <v>392</v>
      </c>
      <c r="D23" s="13" t="s">
        <v>397</v>
      </c>
      <c r="E23" s="31" t="n">
        <v>0.463</v>
      </c>
      <c r="F23" s="13" t="s">
        <v>398</v>
      </c>
      <c r="G23" s="14" t="s">
        <v>399</v>
      </c>
    </row>
    <row r="24" customFormat="false" ht="23.85" hidden="false" customHeight="false" outlineLevel="0" collapsed="false">
      <c r="A24" s="28" t="s">
        <v>396</v>
      </c>
      <c r="B24" s="28" t="s">
        <v>355</v>
      </c>
      <c r="C24" s="29" t="s">
        <v>400</v>
      </c>
      <c r="D24" s="28" t="s">
        <v>397</v>
      </c>
      <c r="E24" s="30" t="n">
        <v>0.907</v>
      </c>
      <c r="F24" s="28" t="s">
        <v>389</v>
      </c>
      <c r="G24" s="29" t="s">
        <v>401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3" min="3" style="0" width="56"/>
    <col collapsed="false" customWidth="true" hidden="false" outlineLevel="0" max="4" min="4" style="0" width="40"/>
    <col collapsed="false" customWidth="true" hidden="false" outlineLevel="0" max="5" min="5" style="0" width="16"/>
    <col collapsed="false" customWidth="true" hidden="false" outlineLevel="0" max="6" min="6" style="0" width="11"/>
    <col collapsed="false" customWidth="true" hidden="false" outlineLevel="0" max="7" min="7" style="0" width="26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6" t="s">
        <v>402</v>
      </c>
    </row>
    <row r="2" customFormat="false" ht="15" hidden="false" customHeight="false" outlineLevel="0" collapsed="false">
      <c r="A2" s="2" t="s">
        <v>403</v>
      </c>
    </row>
    <row r="3" customFormat="false" ht="30" hidden="false" customHeight="true" outlineLevel="0" collapsed="false">
      <c r="A3" s="7" t="s">
        <v>404</v>
      </c>
      <c r="B3" s="7" t="s">
        <v>405</v>
      </c>
      <c r="C3" s="7" t="s">
        <v>406</v>
      </c>
      <c r="D3" s="7" t="s">
        <v>407</v>
      </c>
      <c r="E3" s="7" t="s">
        <v>408</v>
      </c>
      <c r="F3" s="7" t="s">
        <v>223</v>
      </c>
      <c r="G3" s="7" t="s">
        <v>409</v>
      </c>
      <c r="H3" s="7" t="s">
        <v>51</v>
      </c>
    </row>
    <row r="4" customFormat="false" ht="15" hidden="false" customHeight="false" outlineLevel="0" collapsed="false">
      <c r="A4" s="8" t="n">
        <v>1</v>
      </c>
      <c r="B4" s="9" t="s">
        <v>410</v>
      </c>
      <c r="C4" s="32" t="s">
        <v>411</v>
      </c>
      <c r="D4" s="9" t="s">
        <v>412</v>
      </c>
      <c r="E4" s="8" t="s">
        <v>310</v>
      </c>
      <c r="F4" s="33"/>
      <c r="G4" s="12"/>
      <c r="H4" s="12"/>
    </row>
    <row r="5" customFormat="false" ht="15" hidden="false" customHeight="false" outlineLevel="0" collapsed="false">
      <c r="A5" s="13" t="n">
        <v>2</v>
      </c>
      <c r="B5" s="14" t="s">
        <v>413</v>
      </c>
      <c r="C5" s="34" t="s">
        <v>414</v>
      </c>
      <c r="D5" s="14" t="s">
        <v>415</v>
      </c>
      <c r="E5" s="13" t="s">
        <v>310</v>
      </c>
      <c r="F5" s="33"/>
      <c r="G5" s="12"/>
      <c r="H5" s="12"/>
    </row>
    <row r="6" customFormat="false" ht="15" hidden="false" customHeight="false" outlineLevel="0" collapsed="false">
      <c r="A6" s="8" t="n">
        <v>3</v>
      </c>
      <c r="B6" s="9" t="s">
        <v>416</v>
      </c>
      <c r="C6" s="32" t="s">
        <v>417</v>
      </c>
      <c r="D6" s="9" t="s">
        <v>418</v>
      </c>
      <c r="E6" s="8" t="s">
        <v>419</v>
      </c>
      <c r="F6" s="33"/>
      <c r="G6" s="12"/>
      <c r="H6" s="12"/>
    </row>
    <row r="7" customFormat="false" ht="22.35" hidden="false" customHeight="false" outlineLevel="0" collapsed="false">
      <c r="A7" s="13" t="n">
        <v>4</v>
      </c>
      <c r="B7" s="14" t="s">
        <v>420</v>
      </c>
      <c r="C7" s="34" t="s">
        <v>421</v>
      </c>
      <c r="D7" s="14" t="s">
        <v>312</v>
      </c>
      <c r="E7" s="13" t="s">
        <v>310</v>
      </c>
      <c r="F7" s="33"/>
      <c r="G7" s="12"/>
      <c r="H7" s="12"/>
    </row>
    <row r="8" customFormat="false" ht="22.35" hidden="false" customHeight="false" outlineLevel="0" collapsed="false">
      <c r="A8" s="8" t="n">
        <v>5</v>
      </c>
      <c r="B8" s="9" t="s">
        <v>422</v>
      </c>
      <c r="C8" s="32" t="s">
        <v>423</v>
      </c>
      <c r="D8" s="9" t="s">
        <v>424</v>
      </c>
      <c r="E8" s="8" t="s">
        <v>310</v>
      </c>
      <c r="F8" s="33"/>
      <c r="G8" s="12"/>
      <c r="H8" s="12"/>
    </row>
    <row r="9" customFormat="false" ht="43.25" hidden="false" customHeight="false" outlineLevel="0" collapsed="false">
      <c r="A9" s="13" t="n">
        <v>6</v>
      </c>
      <c r="B9" s="14" t="s">
        <v>425</v>
      </c>
      <c r="C9" s="34" t="s">
        <v>426</v>
      </c>
      <c r="D9" s="14" t="s">
        <v>427</v>
      </c>
      <c r="E9" s="13" t="s">
        <v>52</v>
      </c>
      <c r="F9" s="33"/>
      <c r="G9" s="12"/>
      <c r="H9" s="12"/>
    </row>
    <row r="10" customFormat="false" ht="15" hidden="false" customHeight="false" outlineLevel="0" collapsed="false">
      <c r="A10" s="8" t="n">
        <v>7</v>
      </c>
      <c r="B10" s="9" t="s">
        <v>428</v>
      </c>
      <c r="C10" s="32" t="s">
        <v>429</v>
      </c>
      <c r="D10" s="9" t="s">
        <v>430</v>
      </c>
      <c r="E10" s="8" t="s">
        <v>52</v>
      </c>
      <c r="F10" s="33"/>
      <c r="G10" s="12"/>
      <c r="H10" s="12"/>
    </row>
    <row r="11" customFormat="false" ht="15" hidden="false" customHeight="false" outlineLevel="0" collapsed="false">
      <c r="A11" s="13" t="n">
        <v>8</v>
      </c>
      <c r="B11" s="14" t="s">
        <v>431</v>
      </c>
      <c r="C11" s="34" t="s">
        <v>432</v>
      </c>
      <c r="D11" s="14" t="s">
        <v>433</v>
      </c>
      <c r="E11" s="13" t="s">
        <v>52</v>
      </c>
      <c r="F11" s="33"/>
      <c r="G11" s="12"/>
      <c r="H11" s="12"/>
    </row>
    <row r="12" customFormat="false" ht="15" hidden="false" customHeight="false" outlineLevel="0" collapsed="false">
      <c r="A12" s="8" t="n">
        <v>9</v>
      </c>
      <c r="B12" s="9" t="s">
        <v>434</v>
      </c>
      <c r="C12" s="32" t="s">
        <v>435</v>
      </c>
      <c r="D12" s="9" t="s">
        <v>436</v>
      </c>
      <c r="E12" s="8" t="s">
        <v>76</v>
      </c>
      <c r="F12" s="33"/>
      <c r="G12" s="12"/>
      <c r="H12" s="12"/>
    </row>
    <row r="13" customFormat="false" ht="32.8" hidden="false" customHeight="false" outlineLevel="0" collapsed="false">
      <c r="A13" s="13" t="n">
        <v>10</v>
      </c>
      <c r="B13" s="14" t="s">
        <v>437</v>
      </c>
      <c r="C13" s="34" t="s">
        <v>438</v>
      </c>
      <c r="D13" s="14" t="s">
        <v>439</v>
      </c>
      <c r="E13" s="13" t="s">
        <v>85</v>
      </c>
      <c r="F13" s="33"/>
      <c r="G13" s="12"/>
      <c r="H13" s="12"/>
    </row>
    <row r="14" customFormat="false" ht="15" hidden="false" customHeight="false" outlineLevel="0" collapsed="false">
      <c r="A14" s="8" t="n">
        <v>11</v>
      </c>
      <c r="B14" s="9" t="s">
        <v>440</v>
      </c>
      <c r="C14" s="32" t="s">
        <v>441</v>
      </c>
      <c r="D14" s="9" t="s">
        <v>442</v>
      </c>
      <c r="E14" s="8" t="s">
        <v>91</v>
      </c>
      <c r="F14" s="33"/>
      <c r="G14" s="12"/>
      <c r="H14" s="12"/>
    </row>
    <row r="15" customFormat="false" ht="43.25" hidden="false" customHeight="false" outlineLevel="0" collapsed="false">
      <c r="A15" s="13" t="n">
        <v>12</v>
      </c>
      <c r="B15" s="14" t="s">
        <v>443</v>
      </c>
      <c r="C15" s="34" t="s">
        <v>444</v>
      </c>
      <c r="D15" s="14" t="s">
        <v>445</v>
      </c>
      <c r="E15" s="13" t="s">
        <v>91</v>
      </c>
      <c r="F15" s="33"/>
      <c r="G15" s="12"/>
      <c r="H15" s="12"/>
    </row>
    <row r="16" customFormat="false" ht="15" hidden="false" customHeight="false" outlineLevel="0" collapsed="false">
      <c r="A16" s="8" t="n">
        <v>13</v>
      </c>
      <c r="B16" s="9" t="s">
        <v>446</v>
      </c>
      <c r="C16" s="32" t="s">
        <v>447</v>
      </c>
      <c r="D16" s="9" t="s">
        <v>448</v>
      </c>
      <c r="E16" s="8" t="s">
        <v>449</v>
      </c>
      <c r="F16" s="33"/>
      <c r="G16" s="12"/>
      <c r="H16" s="12"/>
    </row>
    <row r="17" customFormat="false" ht="15" hidden="false" customHeight="false" outlineLevel="0" collapsed="false">
      <c r="A17" s="13" t="n">
        <v>14</v>
      </c>
      <c r="B17" s="14" t="s">
        <v>450</v>
      </c>
      <c r="C17" s="34" t="s">
        <v>451</v>
      </c>
      <c r="D17" s="14" t="s">
        <v>452</v>
      </c>
      <c r="E17" s="13" t="s">
        <v>270</v>
      </c>
      <c r="F17" s="33"/>
      <c r="G17" s="12"/>
      <c r="H17" s="12"/>
    </row>
    <row r="18" customFormat="false" ht="15" hidden="false" customHeight="false" outlineLevel="0" collapsed="false">
      <c r="A18" s="8" t="n">
        <v>15</v>
      </c>
      <c r="B18" s="9" t="s">
        <v>274</v>
      </c>
      <c r="C18" s="32" t="s">
        <v>453</v>
      </c>
      <c r="D18" s="9" t="s">
        <v>454</v>
      </c>
      <c r="E18" s="8" t="s">
        <v>270</v>
      </c>
      <c r="F18" s="33"/>
      <c r="G18" s="12"/>
      <c r="H18" s="12"/>
    </row>
    <row r="19" customFormat="false" ht="15" hidden="false" customHeight="false" outlineLevel="0" collapsed="false">
      <c r="A19" s="13" t="n">
        <v>16</v>
      </c>
      <c r="B19" s="14" t="s">
        <v>279</v>
      </c>
      <c r="C19" s="34" t="s">
        <v>455</v>
      </c>
      <c r="D19" s="14" t="s">
        <v>456</v>
      </c>
      <c r="E19" s="13" t="s">
        <v>457</v>
      </c>
      <c r="F19" s="33"/>
      <c r="G19" s="12"/>
      <c r="H19" s="12"/>
    </row>
    <row r="20" customFormat="false" ht="22.35" hidden="false" customHeight="false" outlineLevel="0" collapsed="false">
      <c r="A20" s="8" t="n">
        <v>17</v>
      </c>
      <c r="B20" s="9" t="s">
        <v>458</v>
      </c>
      <c r="C20" s="32" t="s">
        <v>459</v>
      </c>
      <c r="D20" s="9" t="s">
        <v>460</v>
      </c>
      <c r="E20" s="8" t="s">
        <v>461</v>
      </c>
      <c r="F20" s="33"/>
      <c r="G20" s="12"/>
      <c r="H20" s="12"/>
    </row>
    <row r="22" customFormat="false" ht="15" hidden="false" customHeight="false" outlineLevel="0" collapsed="false">
      <c r="B22" s="5" t="s">
        <v>462</v>
      </c>
      <c r="C22" s="5" t="str">
        <f aca="false">COUNTIF(F4:F20,"PASS")&amp;" of 17"</f>
        <v>0 of 17</v>
      </c>
    </row>
    <row r="23" customFormat="false" ht="15" hidden="false" customHeight="false" outlineLevel="0" collapsed="false">
      <c r="B23" s="5" t="s">
        <v>463</v>
      </c>
      <c r="C23" s="5" t="str">
        <f aca="false">IF(COUNTIF(F4:F20,"FAIL")=0,"None","INVESTIGATE - see Defect Register")</f>
        <v>None</v>
      </c>
    </row>
    <row r="25" customFormat="false" ht="15" hidden="false" customHeight="false" outlineLevel="0" collapsed="false">
      <c r="B25" s="2" t="s">
        <v>464</v>
      </c>
      <c r="F25" s="21" t="s">
        <v>61</v>
      </c>
      <c r="G25" s="21" t="s">
        <v>465</v>
      </c>
      <c r="H25" s="21" t="s">
        <v>213</v>
      </c>
    </row>
  </sheetData>
  <dataValidations count="1">
    <dataValidation allowBlank="true" errorStyle="stop" operator="between" showDropDown="false" showErrorMessage="false" showInputMessage="false" sqref="F4:F20" type="list">
      <formula1>"PASS,FAIL,SKIPPED"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4" min="4" style="0" width="52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6" t="s">
        <v>466</v>
      </c>
    </row>
    <row r="2" customFormat="false" ht="15" hidden="false" customHeight="false" outlineLevel="0" collapsed="false">
      <c r="A2" s="2" t="s">
        <v>467</v>
      </c>
    </row>
    <row r="3" customFormat="false" ht="30" hidden="false" customHeight="true" outlineLevel="0" collapsed="false">
      <c r="A3" s="7" t="s">
        <v>39</v>
      </c>
      <c r="B3" s="7" t="s">
        <v>468</v>
      </c>
      <c r="C3" s="7" t="s">
        <v>469</v>
      </c>
      <c r="D3" s="7" t="s">
        <v>470</v>
      </c>
      <c r="E3" s="7" t="s">
        <v>471</v>
      </c>
      <c r="F3" s="7" t="s">
        <v>472</v>
      </c>
      <c r="G3" s="7" t="s">
        <v>473</v>
      </c>
      <c r="H3" s="7" t="s">
        <v>49</v>
      </c>
    </row>
    <row r="4" customFormat="false" ht="23.85" hidden="false" customHeight="false" outlineLevel="0" collapsed="false">
      <c r="A4" s="8" t="s">
        <v>474</v>
      </c>
      <c r="B4" s="9" t="s">
        <v>475</v>
      </c>
      <c r="C4" s="8" t="s">
        <v>476</v>
      </c>
      <c r="D4" s="9" t="s">
        <v>477</v>
      </c>
      <c r="E4" s="19" t="s">
        <v>354</v>
      </c>
      <c r="F4" s="12"/>
      <c r="G4" s="12"/>
      <c r="H4" s="12" t="s">
        <v>132</v>
      </c>
    </row>
    <row r="5" customFormat="false" ht="23.85" hidden="false" customHeight="false" outlineLevel="0" collapsed="false">
      <c r="A5" s="13" t="s">
        <v>478</v>
      </c>
      <c r="B5" s="14" t="s">
        <v>479</v>
      </c>
      <c r="C5" s="13" t="s">
        <v>480</v>
      </c>
      <c r="D5" s="14" t="s">
        <v>481</v>
      </c>
      <c r="E5" s="19" t="s">
        <v>354</v>
      </c>
      <c r="F5" s="12"/>
      <c r="G5" s="12"/>
      <c r="H5" s="12" t="s">
        <v>132</v>
      </c>
    </row>
    <row r="6" customFormat="false" ht="23.85" hidden="false" customHeight="false" outlineLevel="0" collapsed="false">
      <c r="A6" s="8" t="s">
        <v>482</v>
      </c>
      <c r="B6" s="9" t="s">
        <v>483</v>
      </c>
      <c r="C6" s="8" t="s">
        <v>484</v>
      </c>
      <c r="D6" s="9" t="s">
        <v>485</v>
      </c>
      <c r="E6" s="19" t="s">
        <v>354</v>
      </c>
      <c r="F6" s="12"/>
      <c r="G6" s="12"/>
      <c r="H6" s="12" t="s">
        <v>132</v>
      </c>
    </row>
    <row r="7" customFormat="false" ht="15" hidden="false" customHeight="false" outlineLevel="0" collapsed="false">
      <c r="A7" s="13" t="s">
        <v>486</v>
      </c>
      <c r="B7" s="14" t="s">
        <v>487</v>
      </c>
      <c r="C7" s="13" t="s">
        <v>488</v>
      </c>
      <c r="D7" s="14" t="s">
        <v>489</v>
      </c>
      <c r="E7" s="19" t="s">
        <v>354</v>
      </c>
      <c r="F7" s="12"/>
      <c r="G7" s="12"/>
      <c r="H7" s="12" t="s">
        <v>132</v>
      </c>
    </row>
    <row r="8" customFormat="false" ht="23.85" hidden="false" customHeight="false" outlineLevel="0" collapsed="false">
      <c r="A8" s="8" t="s">
        <v>490</v>
      </c>
      <c r="B8" s="9" t="s">
        <v>491</v>
      </c>
      <c r="C8" s="8" t="s">
        <v>492</v>
      </c>
      <c r="D8" s="9" t="s">
        <v>493</v>
      </c>
      <c r="E8" s="18" t="s">
        <v>494</v>
      </c>
      <c r="F8" s="12"/>
      <c r="G8" s="12"/>
      <c r="H8" s="12" t="s">
        <v>495</v>
      </c>
    </row>
    <row r="9" customFormat="false" ht="23.85" hidden="false" customHeight="false" outlineLevel="0" collapsed="false">
      <c r="A9" s="13" t="s">
        <v>496</v>
      </c>
      <c r="B9" s="14" t="s">
        <v>497</v>
      </c>
      <c r="C9" s="13" t="s">
        <v>498</v>
      </c>
      <c r="D9" s="14" t="s">
        <v>499</v>
      </c>
      <c r="E9" s="19" t="s">
        <v>500</v>
      </c>
      <c r="F9" s="12"/>
      <c r="G9" s="12"/>
      <c r="H9" s="12" t="s">
        <v>132</v>
      </c>
    </row>
    <row r="10" customFormat="false" ht="23.85" hidden="false" customHeight="false" outlineLevel="0" collapsed="false">
      <c r="A10" s="8" t="s">
        <v>501</v>
      </c>
      <c r="B10" s="9" t="s">
        <v>502</v>
      </c>
      <c r="C10" s="8" t="s">
        <v>503</v>
      </c>
      <c r="D10" s="9" t="s">
        <v>504</v>
      </c>
      <c r="E10" s="18" t="s">
        <v>494</v>
      </c>
      <c r="F10" s="12"/>
      <c r="G10" s="12"/>
      <c r="H10" s="12" t="s">
        <v>132</v>
      </c>
    </row>
    <row r="11" customFormat="false" ht="23.85" hidden="false" customHeight="false" outlineLevel="0" collapsed="false">
      <c r="A11" s="13" t="s">
        <v>505</v>
      </c>
      <c r="B11" s="14" t="s">
        <v>506</v>
      </c>
      <c r="C11" s="13" t="s">
        <v>507</v>
      </c>
      <c r="D11" s="14" t="s">
        <v>508</v>
      </c>
      <c r="E11" s="20" t="s">
        <v>494</v>
      </c>
      <c r="F11" s="12"/>
      <c r="G11" s="12"/>
      <c r="H11" s="12" t="s">
        <v>132</v>
      </c>
    </row>
    <row r="12" customFormat="false" ht="23.85" hidden="false" customHeight="false" outlineLevel="0" collapsed="false">
      <c r="A12" s="8" t="s">
        <v>509</v>
      </c>
      <c r="B12" s="9" t="s">
        <v>510</v>
      </c>
      <c r="C12" s="8" t="s">
        <v>511</v>
      </c>
      <c r="D12" s="9" t="s">
        <v>512</v>
      </c>
      <c r="E12" s="18" t="s">
        <v>494</v>
      </c>
      <c r="F12" s="12"/>
      <c r="G12" s="12"/>
      <c r="H12" s="12" t="s">
        <v>132</v>
      </c>
    </row>
    <row r="13" customFormat="false" ht="23.85" hidden="false" customHeight="false" outlineLevel="0" collapsed="false">
      <c r="A13" s="13" t="s">
        <v>513</v>
      </c>
      <c r="B13" s="14" t="s">
        <v>514</v>
      </c>
      <c r="C13" s="13" t="s">
        <v>515</v>
      </c>
      <c r="D13" s="14" t="s">
        <v>516</v>
      </c>
      <c r="E13" s="20" t="s">
        <v>494</v>
      </c>
      <c r="F13" s="12"/>
      <c r="G13" s="12"/>
      <c r="H13" s="12" t="s">
        <v>132</v>
      </c>
    </row>
    <row r="14" customFormat="false" ht="35.05" hidden="false" customHeight="false" outlineLevel="0" collapsed="false">
      <c r="A14" s="8" t="s">
        <v>517</v>
      </c>
      <c r="B14" s="9" t="s">
        <v>518</v>
      </c>
      <c r="C14" s="8" t="s">
        <v>503</v>
      </c>
      <c r="D14" s="9" t="s">
        <v>519</v>
      </c>
      <c r="E14" s="19" t="s">
        <v>354</v>
      </c>
      <c r="F14" s="12"/>
      <c r="G14" s="12"/>
      <c r="H14" s="12" t="s">
        <v>132</v>
      </c>
    </row>
    <row r="15" customFormat="false" ht="35.05" hidden="false" customHeight="false" outlineLevel="0" collapsed="false">
      <c r="A15" s="13" t="s">
        <v>520</v>
      </c>
      <c r="B15" s="14" t="s">
        <v>521</v>
      </c>
      <c r="C15" s="13" t="s">
        <v>503</v>
      </c>
      <c r="D15" s="14" t="s">
        <v>522</v>
      </c>
      <c r="E15" s="19" t="s">
        <v>354</v>
      </c>
      <c r="F15" s="12"/>
      <c r="G15" s="12"/>
      <c r="H15" s="12" t="s">
        <v>132</v>
      </c>
    </row>
    <row r="16" customFormat="false" ht="23.85" hidden="false" customHeight="false" outlineLevel="0" collapsed="false">
      <c r="A16" s="8" t="s">
        <v>523</v>
      </c>
      <c r="B16" s="9" t="s">
        <v>524</v>
      </c>
      <c r="C16" s="8" t="s">
        <v>511</v>
      </c>
      <c r="D16" s="9" t="s">
        <v>525</v>
      </c>
      <c r="E16" s="19" t="s">
        <v>354</v>
      </c>
      <c r="F16" s="12"/>
      <c r="G16" s="12"/>
      <c r="H16" s="12" t="s">
        <v>132</v>
      </c>
    </row>
    <row r="17" customFormat="false" ht="23.85" hidden="false" customHeight="false" outlineLevel="0" collapsed="false">
      <c r="A17" s="13" t="s">
        <v>526</v>
      </c>
      <c r="B17" s="14" t="s">
        <v>527</v>
      </c>
      <c r="C17" s="13" t="s">
        <v>528</v>
      </c>
      <c r="D17" s="14" t="s">
        <v>529</v>
      </c>
      <c r="E17" s="19" t="s">
        <v>354</v>
      </c>
      <c r="F17" s="12"/>
      <c r="G17" s="12"/>
      <c r="H17" s="12" t="s">
        <v>132</v>
      </c>
    </row>
    <row r="19" customFormat="false" ht="15" hidden="false" customHeight="false" outlineLevel="0" collapsed="false">
      <c r="B19" s="5" t="s">
        <v>530</v>
      </c>
      <c r="E19" s="5" t="n">
        <f aca="false">SUMPRODUCT((LEFT(E4:E17,3)="YES")*(H4:H17&lt;&gt;"Done"))</f>
        <v>9</v>
      </c>
    </row>
  </sheetData>
  <dataValidations count="1">
    <dataValidation allowBlank="true" errorStyle="stop" operator="between" showDropDown="false" showErrorMessage="false" showInputMessage="false" sqref="H4:H17" type="list">
      <formula1>"Open,In progress,Done,Deferred"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2026-08-23T14:32:09Z</dcterms:created>
  <dc:creator>openpyxl</dc:creator>
  <dc:description/>
  <dc:language>en-US</dc:language>
  <cp:lastModifiedBy/>
  <dcterms:modified xsi:type="dcterms:W3CDTF">2026-08-23T14:32:09Z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