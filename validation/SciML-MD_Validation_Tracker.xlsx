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Defect Register" sheetId="2" state="visible" r:id="rId2"/>
    <sheet xmlns:r="http://schemas.openxmlformats.org/officeDocument/2006/relationships" name="Verification Matrix" sheetId="3" state="visible" r:id="rId3"/>
    <sheet xmlns:r="http://schemas.openxmlformats.org/officeDocument/2006/relationships" name="Metrics Before-After" sheetId="4" state="visible" r:id="rId4"/>
    <sheet xmlns:r="http://schemas.openxmlformats.org/officeDocument/2006/relationships" name="MSM Validity L2" sheetId="5" state="visible" r:id="rId5"/>
    <sheet xmlns:r="http://schemas.openxmlformats.org/officeDocument/2006/relationships" name="External Validation L3" sheetId="6" state="visible" r:id="rId6"/>
    <sheet xmlns:r="http://schemas.openxmlformats.org/officeDocument/2006/relationships" name="Re-verify Runbook" sheetId="7" state="visible" r:id="rId7"/>
    <sheet xmlns:r="http://schemas.openxmlformats.org/officeDocument/2006/relationships" name="Open Items" sheetId="8" state="visible" r:id="rId8"/>
    <sheet xmlns:r="http://schemas.openxmlformats.org/officeDocument/2006/relationships" name="Phase 3 Scale L4" sheetId="9" state="visible" r:id="rId9"/>
    <sheet xmlns:r="http://schemas.openxmlformats.org/officeDocument/2006/relationships" name="Phase 4 Functional L5"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000"/>
    <numFmt numFmtId="165" formatCode="\+0.000;\-0.000"/>
    <numFmt numFmtId="166" formatCode="\+0.00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A1A1A"/>
      <sz val="16"/>
    </font>
    <font>
      <name val="Arial"/>
      <charset val="1"/>
      <family val="0"/>
      <color rgb="FF5A5A5A"/>
      <sz val="9"/>
    </font>
    <font>
      <name val="Arial"/>
      <charset val="1"/>
      <family val="0"/>
      <color rgb="FF1A1A1A"/>
      <sz val="10"/>
    </font>
    <font>
      <name val="Arial"/>
      <charset val="1"/>
      <family val="0"/>
      <b val="1"/>
      <color rgb="FF1A1A1A"/>
      <sz val="10"/>
    </font>
    <font>
      <name val="Arial"/>
      <charset val="1"/>
      <family val="0"/>
      <b val="1"/>
      <color rgb="FF1A1A1A"/>
      <sz val="14"/>
    </font>
    <font>
      <name val="Arial"/>
      <charset val="1"/>
      <family val="0"/>
      <b val="1"/>
      <color rgb="FFFFFFFF"/>
      <sz val="10"/>
    </font>
    <font>
      <name val="Arial"/>
      <family val="2"/>
      <sz val="10"/>
    </font>
    <font>
      <name val="Consolas"/>
      <charset val="1"/>
      <family val="0"/>
      <color rgb="FF1A1A1A"/>
      <sz val="9"/>
    </font>
    <font>
      <b val="1"/>
      <color rgb="FF1A1A1A"/>
      <sz val="14"/>
    </font>
    <font>
      <color rgb="FF5A5A5A"/>
      <sz val="9"/>
    </font>
    <font>
      <b val="1"/>
      <color rgb="FFFFFFFF"/>
      <sz val="10"/>
    </font>
    <font>
      <color rgb="FF1A1A1A"/>
      <sz val="10"/>
    </font>
    <font>
      <b val="1"/>
      <color rgb="FF1A1A1A"/>
      <sz val="10"/>
    </font>
  </fonts>
  <fills count="11">
    <fill>
      <patternFill/>
    </fill>
    <fill>
      <patternFill patternType="gray125"/>
    </fill>
    <fill>
      <patternFill patternType="solid">
        <fgColor rgb="FF1F3B57"/>
        <bgColor rgb="FF003366"/>
      </patternFill>
    </fill>
    <fill>
      <patternFill patternType="solid">
        <fgColor rgb="FFFBE6DC"/>
        <bgColor rgb="FFFDF3E0"/>
      </patternFill>
    </fill>
    <fill>
      <patternFill patternType="solid">
        <fgColor rgb="FFE3F2E8"/>
        <bgColor rgb="FFF7F9FB"/>
      </patternFill>
    </fill>
    <fill>
      <patternFill patternType="solid">
        <fgColor rgb="FFFFFFCC"/>
        <bgColor rgb="FFFDF3E0"/>
      </patternFill>
    </fill>
    <fill>
      <patternFill patternType="solid">
        <fgColor rgb="FFF7F9FB"/>
        <bgColor rgb="FFFFFFFF"/>
      </patternFill>
    </fill>
    <fill>
      <patternFill patternType="solid">
        <fgColor rgb="FFFDF3E0"/>
        <bgColor rgb="FFFBE6DC"/>
      </patternFill>
    </fill>
    <fill>
      <patternFill patternType="solid">
        <fgColor rgb="FF1F3B57"/>
      </patternFill>
    </fill>
    <fill>
      <patternFill patternType="solid">
        <fgColor rgb="FFD8F0DC"/>
      </patternFill>
    </fill>
    <fill>
      <patternFill patternType="solid">
        <fgColor rgb="FFF8D7DA"/>
      </patternFill>
    </fill>
  </fills>
  <borders count="2">
    <border>
      <left/>
      <right/>
      <top/>
      <bottom/>
      <diagonal/>
    </border>
    <border>
      <left style="thin">
        <color rgb="FFC9D3DC"/>
      </left>
      <right style="thin">
        <color rgb="FFC9D3DC"/>
      </right>
      <top style="thin">
        <color rgb="FFC9D3DC"/>
      </top>
      <bottom style="thin">
        <color rgb="FFC9D3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center" vertical="top"/>
    </xf>
    <xf numFmtId="0" fontId="6" fillId="5"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7" fillId="7" borderId="1" applyAlignment="1" pivotButton="0" quotePrefix="0" xfId="0">
      <alignment horizontal="general" vertical="top"/>
    </xf>
    <xf numFmtId="0" fontId="7" fillId="0" borderId="1" applyAlignment="1" pivotButton="0" quotePrefix="0" xfId="0">
      <alignment horizontal="general" vertical="top"/>
    </xf>
    <xf numFmtId="0" fontId="7" fillId="0" borderId="1" applyAlignment="1" pivotButton="0" quotePrefix="0" xfId="0">
      <alignment horizontal="center" vertical="top"/>
    </xf>
    <xf numFmtId="0" fontId="7" fillId="3" borderId="1" applyAlignment="1" pivotButton="0" quotePrefix="0" xfId="0">
      <alignment horizontal="center" vertical="top"/>
    </xf>
    <xf numFmtId="0" fontId="7" fillId="6" borderId="1" applyAlignment="1" pivotButton="0" quotePrefix="0" xfId="0">
      <alignment horizontal="center" vertical="top"/>
    </xf>
    <xf numFmtId="0" fontId="7" fillId="7" borderId="1" applyAlignment="1" pivotButton="0" quotePrefix="0" xfId="0">
      <alignment horizontal="center" vertical="top"/>
    </xf>
    <xf numFmtId="0" fontId="7" fillId="6" borderId="1" applyAlignment="1" pivotButton="0" quotePrefix="0" xfId="0">
      <alignment horizontal="general" vertical="top"/>
    </xf>
    <xf numFmtId="0" fontId="6" fillId="5" borderId="0" applyAlignment="1" pivotButton="0" quotePrefix="0" xfId="0">
      <alignment horizontal="general" vertical="bottom"/>
    </xf>
    <xf numFmtId="164" fontId="6" fillId="0" borderId="1" applyAlignment="1" pivotButton="0" quotePrefix="0" xfId="0">
      <alignment horizontal="center" vertical="bottom"/>
    </xf>
    <xf numFmtId="165" fontId="7" fillId="0" borderId="1" applyAlignment="1" pivotButton="0" quotePrefix="0" xfId="0">
      <alignment horizontal="general" vertical="top"/>
    </xf>
    <xf numFmtId="164" fontId="6" fillId="6" borderId="1" applyAlignment="1" pivotButton="0" quotePrefix="0" xfId="0">
      <alignment horizontal="center" vertical="bottom"/>
    </xf>
    <xf numFmtId="165" fontId="7" fillId="6" borderId="1" applyAlignment="1" pivotButton="0" quotePrefix="0" xfId="0">
      <alignment horizontal="general" vertical="top"/>
    </xf>
    <xf numFmtId="166" fontId="7" fillId="0" borderId="0" applyAlignment="1" pivotButton="0" quotePrefix="0" xfId="0">
      <alignment horizontal="general" vertical="bottom"/>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164" fontId="7" fillId="4" borderId="1" applyAlignment="1" pivotButton="0" quotePrefix="0" xfId="0">
      <alignment horizontal="center" vertical="bottom"/>
    </xf>
    <xf numFmtId="164" fontId="6" fillId="3" borderId="1" applyAlignment="1" pivotButton="0" quotePrefix="0" xfId="0">
      <alignment horizontal="center" vertical="bottom"/>
    </xf>
    <xf numFmtId="0" fontId="11" fillId="0" borderId="1" applyAlignment="1" pivotButton="0" quotePrefix="0" xfId="0">
      <alignment horizontal="general" vertical="top" wrapText="1"/>
    </xf>
    <xf numFmtId="0" fontId="6" fillId="5" borderId="1" applyAlignment="1" pivotButton="0" quotePrefix="0" xfId="0">
      <alignment horizontal="center" vertical="bottom"/>
    </xf>
    <xf numFmtId="0" fontId="11"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center" vertical="top"/>
    </xf>
    <xf numFmtId="0" fontId="6" fillId="5"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7" fillId="7" borderId="1" applyAlignment="1" pivotButton="0" quotePrefix="0" xfId="0">
      <alignment horizontal="general" vertical="top"/>
    </xf>
    <xf numFmtId="0" fontId="7" fillId="0" borderId="1" applyAlignment="1" pivotButton="0" quotePrefix="0" xfId="0">
      <alignment horizontal="general" vertical="top"/>
    </xf>
    <xf numFmtId="0" fontId="7" fillId="0" borderId="1" applyAlignment="1" pivotButton="0" quotePrefix="0" xfId="0">
      <alignment horizontal="center" vertical="top"/>
    </xf>
    <xf numFmtId="0" fontId="7" fillId="3" borderId="1" applyAlignment="1" pivotButton="0" quotePrefix="0" xfId="0">
      <alignment horizontal="center" vertical="top"/>
    </xf>
    <xf numFmtId="0" fontId="7" fillId="6" borderId="1" applyAlignment="1" pivotButton="0" quotePrefix="0" xfId="0">
      <alignment horizontal="center" vertical="top"/>
    </xf>
    <xf numFmtId="0" fontId="7" fillId="7" borderId="1" applyAlignment="1" pivotButton="0" quotePrefix="0" xfId="0">
      <alignment horizontal="center" vertical="top"/>
    </xf>
    <xf numFmtId="0" fontId="7" fillId="6" borderId="1" applyAlignment="1" pivotButton="0" quotePrefix="0" xfId="0">
      <alignment horizontal="general" vertical="top"/>
    </xf>
    <xf numFmtId="0" fontId="6" fillId="5" borderId="0" applyAlignment="1" pivotButton="0" quotePrefix="0" xfId="0">
      <alignment horizontal="general" vertical="bottom"/>
    </xf>
    <xf numFmtId="164" fontId="6" fillId="0" borderId="1" applyAlignment="1" pivotButton="0" quotePrefix="0" xfId="0">
      <alignment horizontal="center" vertical="bottom"/>
    </xf>
    <xf numFmtId="165" fontId="7" fillId="0" borderId="1" applyAlignment="1" pivotButton="0" quotePrefix="0" xfId="0">
      <alignment horizontal="general" vertical="top"/>
    </xf>
    <xf numFmtId="164" fontId="6" fillId="6" borderId="1" applyAlignment="1" pivotButton="0" quotePrefix="0" xfId="0">
      <alignment horizontal="center" vertical="bottom"/>
    </xf>
    <xf numFmtId="165" fontId="7" fillId="6" borderId="1" applyAlignment="1" pivotButton="0" quotePrefix="0" xfId="0">
      <alignment horizontal="general" vertical="top"/>
    </xf>
    <xf numFmtId="166" fontId="7" fillId="0" borderId="0" applyAlignment="1" pivotButton="0" quotePrefix="0" xfId="0">
      <alignment horizontal="general" vertical="bottom"/>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164" fontId="7" fillId="4" borderId="1" applyAlignment="1" pivotButton="0" quotePrefix="0" xfId="0">
      <alignment horizontal="center" vertical="bottom"/>
    </xf>
    <xf numFmtId="164" fontId="6" fillId="3" borderId="1" applyAlignment="1" pivotButton="0" quotePrefix="0" xfId="0">
      <alignment horizontal="center" vertical="bottom"/>
    </xf>
    <xf numFmtId="0" fontId="11" fillId="0" borderId="1" applyAlignment="1" pivotButton="0" quotePrefix="0" xfId="0">
      <alignment horizontal="general" vertical="top" wrapText="1"/>
    </xf>
    <xf numFmtId="0" fontId="6" fillId="5" borderId="1" applyAlignment="1" pivotButton="0" quotePrefix="0" xfId="0">
      <alignment horizontal="center" vertical="bottom"/>
    </xf>
    <xf numFmtId="0" fontId="11" fillId="6" borderId="1" applyAlignment="1" pivotButton="0" quotePrefix="0" xfId="0">
      <alignment horizontal="general" vertical="top" wrapText="1"/>
    </xf>
    <xf numFmtId="0" fontId="12" fillId="0" borderId="0" pivotButton="0" quotePrefix="0" xfId="0"/>
    <xf numFmtId="0" fontId="13" fillId="0" borderId="0" pivotButton="0" quotePrefix="0" xfId="0"/>
    <xf numFmtId="0" fontId="14" fillId="8" borderId="0" applyAlignment="1" pivotButton="0" quotePrefix="0" xfId="0">
      <alignment vertical="center" wrapText="1"/>
    </xf>
    <xf numFmtId="0" fontId="15" fillId="0" borderId="0" pivotButton="0" quotePrefix="0" xfId="0"/>
    <xf numFmtId="0" fontId="16" fillId="9" borderId="0" pivotButton="0" quotePrefix="0" xfId="0"/>
    <xf numFmtId="0" fontId="16" fillId="10" borderId="0" pivotButton="0" quotePrefix="0" xfId="0"/>
    <xf numFmtId="0" fontId="15" fillId="0" borderId="1" applyAlignment="1" pivotButton="0" quotePrefix="0" xfId="0">
      <alignment horizontal="general" vertical="top"/>
    </xf>
    <xf numFmtId="0" fontId="15" fillId="0" borderId="1" applyAlignment="1" pivotButton="0" quotePrefix="0" xfId="0">
      <alignment horizontal="general" vertical="top" wrapText="1"/>
    </xf>
    <xf numFmtId="0" fontId="15" fillId="3" borderId="1" applyAlignment="1" pivotButton="0" quotePrefix="0" xfId="0">
      <alignment horizontal="center" vertical="top"/>
    </xf>
    <xf numFmtId="0" fontId="15" fillId="5" borderId="1" applyAlignment="1" pivotButton="0" quotePrefix="0" xfId="0">
      <alignment horizontal="general" vertical="top"/>
    </xf>
    <xf numFmtId="0" fontId="15" fillId="9" borderId="1" applyAlignment="1" pivotButton="0" quotePrefix="0" xfId="0">
      <alignment horizontal="general" vertical="top"/>
    </xf>
    <xf numFmtId="0" fontId="15" fillId="6" borderId="1" applyAlignment="1" pivotButton="0" quotePrefix="0" xfId="0">
      <alignment horizontal="general" vertical="top"/>
    </xf>
    <xf numFmtId="0" fontId="15" fillId="6" borderId="1" applyAlignment="1" pivotButton="0" quotePrefix="0" xfId="0">
      <alignment horizontal="general" vertical="top" wrapText="1"/>
    </xf>
    <xf numFmtId="0" fontId="15" fillId="0" borderId="1" applyAlignment="1" pivotButton="0" quotePrefix="0" xfId="0">
      <alignment horizontal="center" vertical="top"/>
    </xf>
    <xf numFmtId="0" fontId="15" fillId="0" borderId="0" applyAlignment="1" pivotButton="0" quotePrefix="0" xfId="0">
      <alignment horizontal="general" vertical="bottom"/>
    </xf>
    <xf numFmtId="0" fontId="15" fillId="3" borderId="1" applyAlignment="1" pivotButton="0" quotePrefix="0" xfId="0">
      <alignment horizontal="general" vertical="top"/>
    </xf>
    <xf numFmtId="0" fontId="15" fillId="7" borderId="1" applyAlignment="1" pivotButton="0" quotePrefix="0" xfId="0">
      <alignment horizontal="general" vertical="top"/>
    </xf>
    <xf numFmtId="0" fontId="15" fillId="7" borderId="1" applyAlignment="1" pivotButton="0" quotePrefix="0" xfId="0">
      <alignment horizontal="center" vertical="top"/>
    </xf>
    <xf numFmtId="0" fontId="15" fillId="10" borderId="0" pivotButton="0" quotePrefix="0" xfId="0"/>
    <xf numFmtId="0" fontId="15" fillId="6" borderId="1" applyAlignment="1" pivotButton="0" quotePrefix="0" xfId="0">
      <alignment horizontal="center" vertical="top"/>
    </xf>
    <xf numFmtId="0" fontId="15"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Arial"/>
        <charset val="1"/>
        <family val="0"/>
        <b val="1"/>
        <color rgb="FFB03000"/>
        <sz val="10"/>
      </font>
      <fill>
        <patternFill>
          <bgColor rgb="FFFBE6DC"/>
        </patternFill>
      </fill>
    </dxf>
    <dxf>
      <fill>
        <patternFill>
          <bgColor rgb="FFE3F2E8"/>
        </patternFill>
      </fill>
    </dxf>
    <dxf>
      <fill>
        <patternFill>
          <bgColor rgb="FFFBE6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3F2E8"/>
      <rgbColor rgb="FF660066"/>
      <rgbColor rgb="FFFF8080"/>
      <rgbColor rgb="FF0066CC"/>
      <rgbColor rgb="FFC9D3DC"/>
      <rgbColor rgb="FF000080"/>
      <rgbColor rgb="FFFF00FF"/>
      <rgbColor rgb="FFFFFF00"/>
      <rgbColor rgb="FF00FFFF"/>
      <rgbColor rgb="FF800080"/>
      <rgbColor rgb="FF800000"/>
      <rgbColor rgb="FF008080"/>
      <rgbColor rgb="FF0000FF"/>
      <rgbColor rgb="FF00CCFF"/>
      <rgbColor rgb="FFF7F9FB"/>
      <rgbColor rgb="FFCCFFCC"/>
      <rgbColor rgb="FFFDF3E0"/>
      <rgbColor rgb="FF99CCFF"/>
      <rgbColor rgb="FFFF99CC"/>
      <rgbColor rgb="FFCC99FF"/>
      <rgbColor rgb="FFFBE6DC"/>
      <rgbColor rgb="FF3366FF"/>
      <rgbColor rgb="FF33CCCC"/>
      <rgbColor rgb="FF99CC00"/>
      <rgbColor rgb="FFFFCC00"/>
      <rgbColor rgb="FFFF9900"/>
      <rgbColor rgb="FFFF6600"/>
      <rgbColor rgb="FF5A5A5A"/>
      <rgbColor rgb="FF969696"/>
      <rgbColor rgb="FF003366"/>
      <rgbColor rgb="FF339966"/>
      <rgbColor rgb="FF003300"/>
      <rgbColor rgb="FF1A1A1A"/>
      <rgbColor rgb="FFB03000"/>
      <rgbColor rgb="FF993366"/>
      <rgbColor rgb="FF333399"/>
      <rgbColor rgb="FF1F3B5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G4" authorId="0" shapeId="0">
      <text>
        <t>Evidence file: validation/numerical_results_BASELINE.json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5" min="1" max="1"/>
    <col width="100" customWidth="1" style="35" min="2" max="2"/>
  </cols>
  <sheetData>
    <row r="1" ht="19.7" customHeight="1" s="36">
      <c r="A1" s="37" t="inlineStr">
        <is>
          <t>SciML-MD — Validation Tracking Workbook</t>
        </is>
      </c>
    </row>
    <row r="2" ht="15" customHeight="1" s="36">
      <c r="A2" s="38" t="inlineStr">
        <is>
          <t>Companion to validation/VALIDATION_REPORT.md · branch validation-fixes · campaign 15 Aug 2026</t>
        </is>
      </c>
    </row>
    <row r="4" ht="15" customHeight="1" s="36">
      <c r="A4" s="39" t="n"/>
      <c r="B4" s="40" t="n"/>
    </row>
    <row r="5" ht="23.85" customHeight="1" s="36">
      <c r="A5" s="41" t="inlineStr">
        <is>
          <t>PURPOSE</t>
        </is>
      </c>
      <c r="B5" s="40" t="inlineStr">
        <is>
          <t>Track every defect found during validation, the test that guards it, and the evidence it stays fixed. Re-run the runbook after any pipeline change.</t>
        </is>
      </c>
    </row>
    <row r="6" ht="15" customHeight="1" s="36">
      <c r="A6" s="39" t="n"/>
      <c r="B6" s="40" t="n"/>
    </row>
    <row r="7" ht="15" customHeight="1" s="36">
      <c r="A7" s="41" t="inlineStr">
        <is>
          <t>TABS</t>
        </is>
      </c>
      <c r="B7" s="40" t="n"/>
    </row>
    <row r="8" ht="15" customHeight="1" s="36">
      <c r="A8" s="41" t="inlineStr">
        <is>
          <t>Defect Register</t>
        </is>
      </c>
      <c r="B8" s="40" t="inlineStr">
        <is>
          <t>All 8 code defects + 3 observations: root cause, measured impact, fix, covering test.</t>
        </is>
      </c>
    </row>
    <row r="9" ht="15" customHeight="1" s="36">
      <c r="A9" s="41" t="inlineStr">
        <is>
          <t>Verification Matrix</t>
        </is>
      </c>
      <c r="B9" s="40" t="inlineStr">
        <is>
          <t>Test-to-defect traceability. 12 unit tests + 5 validation scripts + 2 regression suites.</t>
        </is>
      </c>
    </row>
    <row r="10" ht="15" customHeight="1" s="36">
      <c r="A10" s="41" t="inlineStr">
        <is>
          <t>Metrics Before-After</t>
        </is>
      </c>
      <c r="B10" s="40" t="inlineStr">
        <is>
          <t>AUROC/AUPRC baseline vs post-fix. Delta and regression flags are live formulas.</t>
        </is>
      </c>
    </row>
    <row r="11" ht="15" customHeight="1" s="36">
      <c r="A11" s="41" t="inlineStr">
        <is>
          <t>MSM Validity L2</t>
        </is>
      </c>
      <c r="B11" s="40" t="inlineStr">
        <is>
          <t>Chapman-Kolmogorov, implied timescales, bootstrap CIs, VAMP-2 vs acceptance criteria.</t>
        </is>
      </c>
    </row>
    <row r="12" ht="15" customHeight="1" s="36">
      <c r="A12" s="41" t="inlineStr">
        <is>
          <t>External Validation L3</t>
        </is>
      </c>
      <c r="B12" s="40" t="inlineStr">
        <is>
          <t>B-factor correlations and baseline-method comparison.</t>
        </is>
      </c>
    </row>
    <row r="13" ht="15" customHeight="1" s="36">
      <c r="A13" s="41" t="inlineStr">
        <is>
          <t>Re-verify Runbook</t>
        </is>
      </c>
      <c r="B13" s="40" t="inlineStr">
        <is>
          <t>17 ordered steps with exact commands. Fill in Result/Notes/Date.</t>
        </is>
      </c>
    </row>
    <row r="14" ht="15" customHeight="1" s="36">
      <c r="A14" s="41" t="inlineStr">
        <is>
          <t>Open Items</t>
        </is>
      </c>
      <c r="B14" s="40" t="inlineStr">
        <is>
          <t>Outstanding work, with publication-blocking flags.</t>
        </is>
      </c>
    </row>
    <row r="15" ht="15" customHeight="1" s="36">
      <c r="A15" s="39" t="n"/>
      <c r="B15" s="40" t="n"/>
    </row>
    <row r="16" ht="15" customHeight="1" s="36">
      <c r="A16" s="41" t="inlineStr">
        <is>
          <t>HOW TO RE-VERIFY</t>
        </is>
      </c>
      <c r="B16" s="40" t="inlineStr">
        <is>
          <t>1. Open 'Re-verify Runbook' and work top to bottom.</t>
        </is>
      </c>
    </row>
    <row r="17" ht="15" customHeight="1" s="36">
      <c r="A17" s="39" t="n"/>
      <c r="B17" s="40" t="inlineStr">
        <is>
          <t>2. Record PASS/FAIL in the yellow Result column for each step.</t>
        </is>
      </c>
    </row>
    <row r="18" ht="15" customHeight="1" s="36">
      <c r="A18" s="39" t="n"/>
      <c r="B18" s="40" t="inlineStr">
        <is>
          <t>3. Any FAIL: look up the Defects covered column, find that ID in 'Defect Register', read the root cause and the covering test.</t>
        </is>
      </c>
    </row>
    <row r="19" ht="15" customHeight="1" s="36">
      <c r="A19" s="39" t="n"/>
      <c r="B19" s="40" t="inlineStr">
        <is>
          <t>4. Update 'Status' in the Defect Register to Re-verified (or Regressed) with your name and date.</t>
        </is>
      </c>
    </row>
    <row r="20" ht="15" customHeight="1" s="36">
      <c r="A20" s="39" t="n"/>
      <c r="B20" s="40" t="inlineStr">
        <is>
          <t>5. If metrics changed, paste new values into 'Metrics Before-After' - the Verdict column flags any regression automatically.</t>
        </is>
      </c>
    </row>
    <row r="21" ht="15" customHeight="1" s="36">
      <c r="A21" s="39" t="n"/>
      <c r="B21" s="40" t="n"/>
    </row>
    <row r="22" ht="23.85" customHeight="1" s="36">
      <c r="A22" s="41" t="inlineStr">
        <is>
          <t>CELL CONVENTIONS</t>
        </is>
      </c>
      <c r="B22" s="40" t="inlineStr">
        <is>
          <t>Yellow fill = for you to fill in.  Green = passing / best result.  Red = failing, at chance, or blocking.  Grey text = notes and sources.</t>
        </is>
      </c>
    </row>
    <row r="23" ht="15" customHeight="1" s="36">
      <c r="A23" s="39" t="n"/>
      <c r="B23" s="40" t="n"/>
    </row>
    <row r="24" ht="23.85" customHeight="1" s="36">
      <c r="A24" s="41" t="inlineStr">
        <is>
          <t>EVIDENCE FILES</t>
        </is>
      </c>
      <c r="B24" s="40" t="inlineStr">
        <is>
          <t>validation/numerical_results_BASELINE.json · edge_results_BASELINE.json / _POSTFIX.json · rare_case_results_BASELINE.json / _POSTFIX.json · layer2_results.json · layer3_results.json</t>
        </is>
      </c>
    </row>
    <row r="25" ht="15" customHeight="1" s="36">
      <c r="A25" s="41" t="inlineStr">
        <is>
          <t>FIGURES</t>
        </is>
      </c>
      <c r="B25" s="40" t="inlineStr">
        <is>
          <t>validation/figures/ — 15 PNG (implied timescales, CK panels, pi CIs, VAMP-2 grids)</t>
        </is>
      </c>
    </row>
    <row r="26" ht="15" customHeight="1" s="36">
      <c r="A26" s="41" t="inlineStr">
        <is>
          <t>FULL REPORT</t>
        </is>
      </c>
      <c r="B26" s="40" t="inlineStr">
        <is>
          <t>validation/SciML-MD_Validation_Report.docx (20 pp) and .pdf</t>
        </is>
      </c>
    </row>
    <row r="27" ht="15" customHeight="1" s="36">
      <c r="A27" s="39" t="n"/>
      <c r="B27" s="40" t="n"/>
    </row>
    <row r="28" ht="23.85" customHeight="1" s="36">
      <c r="A28" s="41" t="inlineStr">
        <is>
          <t>!! PHASE 1</t>
        </is>
      </c>
      <c r="B28" s="40" t="inlineStr">
        <is>
          <t>Seeded-anomaly test FAILED its pre-registered acceptance criteria (A2): the pipeline is beaten by RMSD-from-mean on structural anomalies, and default smoothing makes it blind to isolated events. See rows P1-1, P1-2, D-09.</t>
        </is>
      </c>
    </row>
    <row r="29" ht="15" customHeight="1" s="36">
      <c r="A29" s="39" t="n"/>
      <c r="B29" s="40" t="n"/>
    </row>
    <row r="30" ht="35.05" customHeight="1" s="36">
      <c r="A30" s="41" t="inlineStr">
        <is>
          <t>!! ERRATA</t>
        </is>
      </c>
      <c r="B30" s="40" t="inlineStr">
        <is>
          <t>An adversarial re-validation (validation/revalidation.py) corrected three downstream claims - see rows E-1..E-6 in the Defect Register and section 0 of VALIDATION_REPORT.md. Core Layer-1 findings are unaffected. Do NOT cite the baseline comparison as a benchmark win.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4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9" customWidth="1" style="35" min="2" max="2"/>
    <col width="26" customWidth="1" style="35" min="3" max="3"/>
    <col width="40" customWidth="1" style="35" min="4" max="4"/>
    <col width="34" customWidth="1" style="35" min="5" max="5"/>
    <col width="10" customWidth="1" style="35" min="6" max="6"/>
    <col width="46" customWidth="1" style="35" min="7" max="7"/>
    <col width="40" customWidth="1" style="35" min="8" max="8"/>
    <col width="34" customWidth="1" style="35" min="9" max="9"/>
    <col width="11" customWidth="1" style="35" min="10" max="10"/>
    <col width="14" customWidth="1" style="35" min="11" max="12"/>
    <col width="12" customWidth="1" style="35" min="13" max="13"/>
  </cols>
  <sheetData>
    <row r="1" ht="17.35" customHeight="1" s="36">
      <c r="A1" s="42" t="inlineStr">
        <is>
          <t>SciML-MD — Defect Register</t>
        </is>
      </c>
    </row>
    <row r="2" ht="15" customHeight="1" s="36">
      <c r="A2" s="38" t="inlineStr">
        <is>
          <t>Every defect found during the Aug-2026 validation campaign. Branch: validation-fixes. Status column is a dropdown — set to 'Re-verified' after running the covering test.</t>
        </is>
      </c>
    </row>
    <row r="3" ht="30" customHeight="1" s="36">
      <c r="A3" s="43" t="inlineStr">
        <is>
          <t>ID</t>
        </is>
      </c>
      <c r="B3" s="43" t="inlineStr">
        <is>
          <t>Layer</t>
        </is>
      </c>
      <c r="C3" s="43" t="inlineStr">
        <is>
          <t>Component</t>
        </is>
      </c>
      <c r="D3" s="43" t="inlineStr">
        <is>
          <t>Defect</t>
        </is>
      </c>
      <c r="E3" s="43" t="inlineStr">
        <is>
          <t>Root cause</t>
        </is>
      </c>
      <c r="F3" s="43" t="inlineStr">
        <is>
          <t>Severity</t>
        </is>
      </c>
      <c r="G3" s="43" t="inlineStr">
        <is>
          <t>Measured impact (baseline evidence)</t>
        </is>
      </c>
      <c r="H3" s="43" t="inlineStr">
        <is>
          <t>Fix applied</t>
        </is>
      </c>
      <c r="I3" s="43" t="inlineStr">
        <is>
          <t>Covering test</t>
        </is>
      </c>
      <c r="J3" s="43" t="inlineStr">
        <is>
          <t>Fix verified</t>
        </is>
      </c>
      <c r="K3" s="43" t="inlineStr">
        <is>
          <t>Status</t>
        </is>
      </c>
      <c r="L3" s="43" t="inlineStr">
        <is>
          <t>Verified by</t>
        </is>
      </c>
      <c r="M3" s="43" t="inlineStr">
        <is>
          <t>Date</t>
        </is>
      </c>
    </row>
    <row r="4" ht="35.05" customHeight="1" s="36">
      <c r="A4" s="44" t="inlineStr">
        <is>
          <t>D-01</t>
        </is>
      </c>
      <c r="B4" s="44" t="inlineStr">
        <is>
          <t>L1</t>
        </is>
      </c>
      <c r="C4" s="44" t="inlineStr">
        <is>
          <t>scoring/anomaly_v2.py</t>
        </is>
      </c>
      <c r="D4" s="45" t="inlineStr">
        <is>
          <t>Cluster labels never remapped to MSM active set</t>
        </is>
      </c>
      <c r="E4" s="45" t="inlineStr">
        <is>
          <t>deeptime estimates P/pi over largest connected set only; row i = state_symbols[i], not label i</t>
        </is>
      </c>
      <c r="F4" s="46" t="inlineStr">
        <is>
          <t>Critical</t>
        </is>
      </c>
      <c r="G4" s="45" t="inlineStr">
        <is>
          <t>Rarity AUROC 0.45-0.80; buggy-vs-correct Spearman -0.50 (8H0R); 0% overlap in top-10% flagged frames; 1CRN 375/1001 frames read wrong pi row</t>
        </is>
      </c>
      <c r="H4" s="45" t="inlineStr">
        <is>
          <t>remap_dtraj_to_active_set() applied inside compute_kinetic_signals; state_symbols.npy persisted</t>
        </is>
      </c>
      <c r="I4" s="45" t="inlineStr">
        <is>
          <t>test_remap_matches_state_symbols; test_rarity_uses_correct_pi_row; test_surprise_uses_correct_P_entries</t>
        </is>
      </c>
      <c r="J4" s="47" t="inlineStr">
        <is>
          <t>PASS</t>
        </is>
      </c>
      <c r="K4" s="48" t="inlineStr">
        <is>
          <t>Fixed</t>
        </is>
      </c>
      <c r="L4" s="48" t="n"/>
      <c r="M4" s="48" t="n"/>
    </row>
    <row r="5" ht="35.05" customHeight="1" s="36">
      <c r="A5" s="49" t="inlineStr">
        <is>
          <t>D-02</t>
        </is>
      </c>
      <c r="B5" s="49" t="inlineStr">
        <is>
          <t>L1</t>
        </is>
      </c>
      <c r="C5" s="49" t="inlineStr">
        <is>
          <t>scoring/anomaly_v2.py</t>
        </is>
      </c>
      <c r="D5" s="50" t="inlineStr">
        <is>
          <t>Rank normalisation broke ties by frame order</t>
        </is>
      </c>
      <c r="E5" s="50" t="inlineStr">
        <is>
          <t>argsort(argsort(x)) assigns distinct ranks to equal values</t>
        </is>
      </c>
      <c r="F5" s="51" t="inlineStr">
        <is>
          <t>High</t>
        </is>
      </c>
      <c r="G5" s="50" t="inlineStr">
        <is>
          <t>Tie groups of 21-410 frames spread across 20.2-42.4 score points by index alone (1CRN: 410 frames = 41% of trajectory)</t>
        </is>
      </c>
      <c r="H5" s="50" t="inlineStr">
        <is>
          <t>Tie-aware average ranks via scipy.stats.rankdata; NaN-aware</t>
        </is>
      </c>
      <c r="I5" s="50" t="inlineStr">
        <is>
          <t>test_tied_values_get_equal_scores; test_tie_spread_is_zero_for_large_tie_group</t>
        </is>
      </c>
      <c r="J5" s="47" t="inlineStr">
        <is>
          <t>PASS</t>
        </is>
      </c>
      <c r="K5" s="48" t="inlineStr">
        <is>
          <t>Fixed</t>
        </is>
      </c>
      <c r="L5" s="48" t="n"/>
      <c r="M5" s="48" t="n"/>
    </row>
    <row r="6" ht="46.25" customHeight="1" s="36">
      <c r="A6" s="44" t="inlineStr">
        <is>
          <t>D-03</t>
        </is>
      </c>
      <c r="B6" s="44" t="inlineStr">
        <is>
          <t>L1</t>
        </is>
      </c>
      <c r="C6" s="44" t="inlineStr">
        <is>
          <t>scoring/anomaly_v2.py</t>
        </is>
      </c>
      <c r="D6" s="45" t="inlineStr">
        <is>
          <t>Transitions touching disconnected states scored 0 (least anomalous)</t>
        </is>
      </c>
      <c r="E6" s="45" t="inlineStr">
        <is>
          <t>Guard clause skipped invalid transitions leaving array default of zero</t>
        </is>
      </c>
      <c r="F6" s="51" t="inlineStr">
        <is>
          <t>High</t>
        </is>
      </c>
      <c r="G6" s="45" t="inlineStr">
        <is>
          <t>Corrected-surprise AUROC 0.02 on 1CRN rare transitions (inverse ranking)</t>
        </is>
      </c>
      <c r="H6" s="45" t="inlineStr">
        <is>
          <t>Capped at max finite surprise; last lag frames set NaN; NaN-aware fusion</t>
        </is>
      </c>
      <c r="I6" s="45" t="inlineStr">
        <is>
          <t>test_disconnected_transition_is_max_surprise_not_zero; test_surprise_tail_is_nan_and_fusion_stays_finite</t>
        </is>
      </c>
      <c r="J6" s="47" t="inlineStr">
        <is>
          <t>PASS</t>
        </is>
      </c>
      <c r="K6" s="48" t="inlineStr">
        <is>
          <t>Fixed</t>
        </is>
      </c>
      <c r="L6" s="48" t="n"/>
      <c r="M6" s="48" t="n"/>
    </row>
    <row r="7" ht="35.05" customHeight="1" s="36">
      <c r="A7" s="49" t="inlineStr">
        <is>
          <t>D-04</t>
        </is>
      </c>
      <c r="B7" s="49" t="inlineStr">
        <is>
          <t>L1</t>
        </is>
      </c>
      <c r="C7" s="49" t="inlineStr">
        <is>
          <t>run_all_proteins.py</t>
        </is>
      </c>
      <c r="D7" s="50" t="inlineStr">
        <is>
          <t>Per-residue scores reduced to pure RMSF</t>
        </is>
      </c>
      <c r="E7" s="50" t="inlineStr">
        <is>
          <t>Blended rmsf_norm with trajectory-MEAN frame score - a constant added to every residue</t>
        </is>
      </c>
      <c r="F7" s="51" t="inlineStr">
        <is>
          <t>High</t>
        </is>
      </c>
      <c r="G7" s="50" t="inlineStr">
        <is>
          <t>Pearson r = 1.0000000000 between published residue scores and raw RMSF (1VII)</t>
        </is>
      </c>
      <c r="H7" s="50" t="inlineStr">
        <is>
          <t>Superseded by scoring/residue_attribution.py - RMSF-orthogonal attribution (see E-1 resolution)</t>
        </is>
      </c>
      <c r="I7" s="50" t="inlineStr">
        <is>
          <t>test_residue_scores_not_pure_rmsf; validation/revalidation.py::R1</t>
        </is>
      </c>
      <c r="J7" s="47" t="inlineStr">
        <is>
          <t>PASS</t>
        </is>
      </c>
      <c r="K7" s="48" t="inlineStr">
        <is>
          <t>Fixed</t>
        </is>
      </c>
      <c r="L7" s="48" t="n"/>
      <c r="M7" s="48" t="n"/>
    </row>
    <row r="8" ht="23.85" customHeight="1" s="36">
      <c r="A8" s="44" t="inlineStr">
        <is>
          <t>D-05</t>
        </is>
      </c>
      <c r="B8" s="44" t="inlineStr">
        <is>
          <t>L1</t>
        </is>
      </c>
      <c r="C8" s="44" t="inlineStr">
        <is>
          <t>run_all_proteins.py</t>
        </is>
      </c>
      <c r="D8" s="45" t="inlineStr">
        <is>
          <t>Residue keys collided across chains</t>
        </is>
      </c>
      <c r="E8" s="45" t="inlineStr">
        <is>
          <t>Key str(residue) e.g. 'MET41' is not unique in multi-chain proteins</t>
        </is>
      </c>
      <c r="F8" s="51" t="inlineStr">
        <is>
          <t>High</t>
        </is>
      </c>
      <c r="G8" s="45" t="inlineStr">
        <is>
          <t>8H0R: 182 residues -&gt; 91 dict entries; chain A silently overwritten by chain B</t>
        </is>
      </c>
      <c r="H8" s="45" t="inlineStr">
        <is>
          <t>Chain-disambiguated keys (NAME###_chainK) when duplicates occur</t>
        </is>
      </c>
      <c r="I8" s="45" t="inlineStr">
        <is>
          <t>test_residue_keys_do_not_collide_across_chains</t>
        </is>
      </c>
      <c r="J8" s="47" t="inlineStr">
        <is>
          <t>PASS</t>
        </is>
      </c>
      <c r="K8" s="48" t="inlineStr">
        <is>
          <t>Fixed</t>
        </is>
      </c>
      <c r="L8" s="48" t="n"/>
      <c r="M8" s="48" t="n"/>
    </row>
    <row r="9" ht="35.05" customHeight="1" s="36">
      <c r="A9" s="49" t="inlineStr">
        <is>
          <t>D-06</t>
        </is>
      </c>
      <c r="B9" s="49" t="inlineStr">
        <is>
          <t>L1</t>
        </is>
      </c>
      <c r="C9" s="49" t="inlineStr">
        <is>
          <t>tools/export_for_asvs.py</t>
        </is>
      </c>
      <c r="D9" s="50" t="inlineStr">
        <is>
          <t>ASVS export produced constant values</t>
        </is>
      </c>
      <c r="E9" s="50" t="inlineStr">
        <is>
          <t>Read column 'score' (pipeline writes 'score_dynamic'); looked up residues by index (file keyed by name)</t>
        </is>
      </c>
      <c r="F9" s="51" t="inlineStr">
        <is>
          <t>High</t>
        </is>
      </c>
      <c r="G9" s="50" t="inlineStr">
        <is>
          <t>exports/8H0R/anomaly_residue.json = 0.25 for all 182 residues x 100 frames</t>
        </is>
      </c>
      <c r="H9" s="50" t="inlineStr">
        <is>
          <t>Reads score_dynamic (/100); positional residue mapping; pipeline now writes residue_scores_rmsf.json</t>
        </is>
      </c>
      <c r="I9" s="50" t="inlineStr">
        <is>
          <t>test_asvs_export_not_constant</t>
        </is>
      </c>
      <c r="J9" s="47" t="inlineStr">
        <is>
          <t>PASS</t>
        </is>
      </c>
      <c r="K9" s="48" t="inlineStr">
        <is>
          <t>Fixed</t>
        </is>
      </c>
      <c r="L9" s="48" t="n"/>
      <c r="M9" s="48" t="n"/>
    </row>
    <row r="10" ht="23.85" customHeight="1" s="36">
      <c r="A10" s="44" t="inlineStr">
        <is>
          <t>D-07</t>
        </is>
      </c>
      <c r="B10" s="44" t="inlineStr">
        <is>
          <t>L2</t>
        </is>
      </c>
      <c r="C10" s="44" t="inlineStr">
        <is>
          <t>msm/validation.py</t>
        </is>
      </c>
      <c r="D10" s="45" t="inlineStr">
        <is>
          <t>Chapman-Kolmogorov test compared mismatched state spaces</t>
        </is>
      </c>
      <c r="E10" s="45" t="inlineStr">
        <is>
          <t>P(k*tau) matrices estimated on different active sets compared without remapping</t>
        </is>
      </c>
      <c r="F10" s="51" t="inlineStr">
        <is>
          <t>High</t>
        </is>
      </c>
      <c r="G10" s="45" t="inlineStr">
        <is>
          <t>Test invalid whenever any state pruned - i.e. in every run performed</t>
        </is>
      </c>
      <c r="H10" s="45" t="inlineStr">
        <is>
          <t>Validation runner embeds each MSM into full label space before comparison</t>
        </is>
      </c>
      <c r="I10" s="45" t="inlineStr">
        <is>
          <t>validation/layer2_msm_validity.py::run_ck (executed on 4 systems)</t>
        </is>
      </c>
      <c r="J10" s="47" t="inlineStr">
        <is>
          <t>PASS</t>
        </is>
      </c>
      <c r="K10" s="48" t="inlineStr">
        <is>
          <t>Fixed</t>
        </is>
      </c>
      <c r="L10" s="48" t="n"/>
      <c r="M10" s="48" t="n"/>
    </row>
    <row r="11" ht="35.05" customHeight="1" s="36">
      <c r="A11" s="49" t="inlineStr">
        <is>
          <t>D-08</t>
        </is>
      </c>
      <c r="B11" s="49" t="inlineStr">
        <is>
          <t>L2</t>
        </is>
      </c>
      <c r="C11" s="49" t="inlineStr">
        <is>
          <t>msm/select_lag_and_dim.py</t>
        </is>
      </c>
      <c r="D11" s="50" t="inlineStr">
        <is>
          <t>VAMP-2 scorer numerically unstable on real features</t>
        </is>
      </c>
      <c r="E11" s="50" t="inlineStr">
        <is>
          <t>Cholesky-inverse whitening with reg=1e-6 on ill-conditioned covariances</t>
        </is>
      </c>
      <c r="F11" s="51" t="inlineStr">
        <is>
          <t>High</t>
        </is>
      </c>
      <c r="G11" s="50" t="inlineStr">
        <is>
          <t>Returned 2.5e5 where valid VAMP-2 &lt;= dim (5); correct on random data, which is why mock tests missed it</t>
        </is>
      </c>
      <c r="H11" s="50" t="inlineStr">
        <is>
          <t>Re-scored with deeptime VAMP.score(r=2), 80/20 split; repo values retained for record</t>
        </is>
      </c>
      <c r="I11" s="50" t="inlineStr">
        <is>
          <t>validation/layer2_msm_validity.py::run_vamp2 (executed on 3 systems)</t>
        </is>
      </c>
      <c r="J11" s="47" t="inlineStr">
        <is>
          <t>PASS</t>
        </is>
      </c>
      <c r="K11" s="48" t="inlineStr">
        <is>
          <t>Fixed</t>
        </is>
      </c>
      <c r="L11" s="48" t="n"/>
      <c r="M11" s="48" t="n"/>
    </row>
    <row r="12" ht="35.05" customHeight="1" s="36">
      <c r="A12" s="44" t="inlineStr">
        <is>
          <t>O-09</t>
        </is>
      </c>
      <c r="B12" s="44" t="inlineStr">
        <is>
          <t>L1</t>
        </is>
      </c>
      <c r="C12" s="44" t="inlineStr">
        <is>
          <t>run_all_proteins.py / batch_runner.py</t>
        </is>
      </c>
      <c r="D12" s="45" t="inlineStr">
        <is>
          <t>OBSERVATION: mean frame score ~50 is a normalisation artifact</t>
        </is>
      </c>
      <c r="E12" s="45" t="inlineStr">
        <is>
          <t>Rank normalisation forces uniform [0,1] per signal; fused mean = 0.5 by construction</t>
        </is>
      </c>
      <c r="F12" s="52" t="inlineStr">
        <is>
          <t>Info</t>
        </is>
      </c>
      <c r="G12" s="45" t="inlineStr">
        <is>
          <t>Measured 47.4-50.9 across all systems regardless of protein or dynamics</t>
        </is>
      </c>
      <c r="H12" s="45" t="inlineStr">
        <is>
          <t>Not a defect - documented; must never be reported as a health metric</t>
        </is>
      </c>
      <c r="I12" s="45" t="inlineStr">
        <is>
          <t>Documented in VALIDATION_REPORT.md 2.3 and 8.2</t>
        </is>
      </c>
      <c r="J12" s="53" t="inlineStr">
        <is>
          <t>N/A</t>
        </is>
      </c>
      <c r="K12" s="48" t="inlineStr">
        <is>
          <t>Documented</t>
        </is>
      </c>
      <c r="L12" s="48" t="n"/>
      <c r="M12" s="48" t="n"/>
    </row>
    <row r="13" ht="23.85" customHeight="1" s="36">
      <c r="A13" s="49" t="inlineStr">
        <is>
          <t>O-10</t>
        </is>
      </c>
      <c r="B13" s="49" t="inlineStr">
        <is>
          <t>L1</t>
        </is>
      </c>
      <c r="C13" s="49" t="inlineStr">
        <is>
          <t>deeptime KMeans</t>
        </is>
      </c>
      <c r="D13" s="50" t="inlineStr">
        <is>
          <t>OBSERVATION: clustering not reproducible across machines</t>
        </is>
      </c>
      <c r="E13" s="50" t="inlineStr">
        <is>
          <t>deeptime KMeans platform-dependent despite fixed seed</t>
        </is>
      </c>
      <c r="F13" s="51" t="inlineStr">
        <is>
          <t>Medium</t>
        </is>
      </c>
      <c r="G13" s="50" t="inlineStr">
        <is>
          <t>ARI 0.43-0.51 vs reference artifacts; 90/100 frames relabelled; tICA reproduces at r=0.96-0.9996</t>
        </is>
      </c>
      <c r="H13" s="50" t="inlineStr">
        <is>
          <t>FIXED: sklearn Lloyd KMeans + canonical relabelling by sorted cluster centres</t>
        </is>
      </c>
      <c r="I13" s="50" t="inlineStr">
        <is>
          <t>test_clustering_is_deterministic</t>
        </is>
      </c>
      <c r="J13" s="47" t="inlineStr">
        <is>
          <t>PASS</t>
        </is>
      </c>
      <c r="K13" s="48" t="inlineStr">
        <is>
          <t>Fixed</t>
        </is>
      </c>
      <c r="L13" s="48" t="n"/>
      <c r="M13" s="48" t="n"/>
    </row>
    <row r="14" ht="35.05" customHeight="1" s="36">
      <c r="A14" s="77" t="inlineStr">
        <is>
          <t>O-11</t>
        </is>
      </c>
      <c r="B14" s="77" t="inlineStr">
        <is>
          <t>L2</t>
        </is>
      </c>
      <c r="C14" s="77" t="inlineStr">
        <is>
          <t>Sampling / trajectory length</t>
        </is>
      </c>
      <c r="D14" s="78" t="inlineStr">
        <is>
          <t>OBSERVATION: 100-frame trajectories cannot support MSM validity claims</t>
        </is>
      </c>
      <c r="E14" s="78" t="inlineStr">
        <is>
          <t>Insufficient sampling: few transitions per state</t>
        </is>
      </c>
      <c r="F14" s="86" t="inlineStr">
        <is>
          <t>Critical</t>
        </is>
      </c>
      <c r="G14" s="78" t="inlineStr">
        <is>
          <t>CK intervals +/-0.3-0.5 (no power); ITS unconverged (1VII +50%); pi CI 1.1-1.6x the value; VAMP-2 saturates at dim</t>
        </is>
      </c>
      <c r="H14" s="78" t="inlineStr">
        <is>
          <t>Open - regenerate at 50,000-step protocol or use public long-trajectory dataset  || RESOLVED 2026-08-29 by Phase 3: 25 ATLAS proteins at 1,001 frames x 3 replicates. C1-C5 all pass with a clean null. Residual concern moved to OI-15 (10,000-frame archives).</t>
        </is>
      </c>
      <c r="I14" s="78" t="inlineStr">
        <is>
          <t>validation/layer2_msm_validity.py (all four systems)</t>
        </is>
      </c>
      <c r="J14" s="79" t="inlineStr">
        <is>
          <t>PASS</t>
        </is>
      </c>
      <c r="K14" s="81" t="inlineStr">
        <is>
          <t>Resolved</t>
        </is>
      </c>
      <c r="L14" s="80" t="n"/>
      <c r="M14" s="80" t="n"/>
    </row>
    <row r="15" ht="46.25" customHeight="1" s="36">
      <c r="A15" s="49" t="inlineStr">
        <is>
          <t>E-1</t>
        </is>
      </c>
      <c r="B15" s="49" t="inlineStr">
        <is>
          <t>L1</t>
        </is>
      </c>
      <c r="C15" s="49" t="inlineStr">
        <is>
          <t>run_all_proteins.py</t>
        </is>
      </c>
      <c r="D15" s="50" t="inlineStr">
        <is>
          <t>ERRATUM: residue scores still ~99% collinear with RMSF after the D-04 fix</t>
        </is>
      </c>
      <c r="E15" s="50" t="inlineStr">
        <is>
          <t>Displacement-weighted participation is near-constant across residues; RMSF term dominates variance</t>
        </is>
      </c>
      <c r="F15" s="51" t="inlineStr">
        <is>
          <t>High</t>
        </is>
      </c>
      <c r="G15" s="50" t="inlineStr">
        <is>
          <t>Post-fix Pearson r vs RMSF = 0.996 (1VII), 0.990 (8H0R), 0.992 (1UBQ) - was 1.000 pre-fix</t>
        </is>
      </c>
      <c r="H15" s="50" t="inlineStr">
        <is>
          <t>RESOLVED: scoring/residue_attribution.py (KSD-RA + explicit RMSF orthogonalisation). Spearman vs RMSF now -0.012 / +0.016 / +0.021</t>
        </is>
      </c>
      <c r="I15" s="50" t="inlineStr">
        <is>
          <t>test_residue_attribution_is_orthogonal_to_rmsf; validation/postaudit_results.json</t>
        </is>
      </c>
      <c r="J15" s="47" t="inlineStr">
        <is>
          <t>PASS</t>
        </is>
      </c>
      <c r="K15" s="48" t="inlineStr">
        <is>
          <t>Fixed</t>
        </is>
      </c>
      <c r="L15" s="48" t="n"/>
      <c r="M15" s="48" t="n"/>
    </row>
    <row r="16" ht="35.05" customHeight="1" s="36">
      <c r="A16" s="44" t="inlineStr">
        <is>
          <t>E-2</t>
        </is>
      </c>
      <c r="B16" s="44" t="inlineStr">
        <is>
          <t>L3</t>
        </is>
      </c>
      <c r="C16" s="44" t="inlineStr">
        <is>
          <t>validation/layer3_external.py</t>
        </is>
      </c>
      <c r="D16" s="45" t="inlineStr">
        <is>
          <t>ERRATUM: B-factor correlation is fully explained by RMSF</t>
        </is>
      </c>
      <c r="E16" s="45" t="inlineStr">
        <is>
          <t>Dynamic score is ~99% RMSF (see E-1), so B-factor agreement carries no anomaly-specific signal</t>
        </is>
      </c>
      <c r="F16" s="46" t="inlineStr">
        <is>
          <t>Critical</t>
        </is>
      </c>
      <c r="G16" s="45" t="inlineStr">
        <is>
          <t>Partial Spearman(B, score | RMSF) = -0.019 (8H0R), -0.181 (1UBQ) - anomaly component adds nothing</t>
        </is>
      </c>
      <c r="H16" s="45" t="inlineStr">
        <is>
          <t>OPEN - cannot be cited as external validation of the method; validates RMSF only</t>
        </is>
      </c>
      <c r="I16" s="45" t="inlineStr">
        <is>
          <t>validation/revalidation.py::R3</t>
        </is>
      </c>
      <c r="J16" s="54" t="inlineStr">
        <is>
          <t>OPEN</t>
        </is>
      </c>
      <c r="K16" s="48" t="inlineStr">
        <is>
          <t>Open</t>
        </is>
      </c>
      <c r="L16" s="48" t="n"/>
      <c r="M16" s="48" t="n"/>
    </row>
    <row r="17" ht="35.05" customHeight="1" s="36">
      <c r="A17" s="82" t="inlineStr">
        <is>
          <t>E-3</t>
        </is>
      </c>
      <c r="B17" s="82" t="inlineStr">
        <is>
          <t>L3</t>
        </is>
      </c>
      <c r="C17" s="82" t="inlineStr">
        <is>
          <t>validation/layer3_external.py</t>
        </is>
      </c>
      <c r="D17" s="83" t="inlineStr">
        <is>
          <t>ERRATUM: rare-STATE baseline comparison is circular</t>
        </is>
      </c>
      <c r="E17" s="83" t="inlineStr">
        <is>
          <t>Labels defined from pi (bottom quartile); rarity channel IS 1-pi - detector and label are the same quantity</t>
        </is>
      </c>
      <c r="F17" s="86" t="inlineStr">
        <is>
          <t>Critical</t>
        </is>
      </c>
      <c r="G17" s="83" t="inlineStr">
        <is>
          <t>Without rarity: 8H0R 0.83 vs LOF 0.93 (LOSES); 1CRN 0.76 vs IsoForest 0.85 (LOSES); 1UBQ 0.69 vs 0.70 (TIES); wins only 1VII</t>
        </is>
      </c>
      <c r="H17" s="83" t="inlineStr">
        <is>
          <t>OPEN - must not be presented as a benchmark win; needs MSM-independent ground truth  || Circularity stands as a retraction of the original comparison. SUPERSEDED 2026-08-29 by Phase 4, which supplies a non-circular label (crystal-contact functional sites, apo MD, no leakage). That test returns a NEGATIVE result - see OI-16.</t>
        </is>
      </c>
      <c r="I17" s="83" t="inlineStr">
        <is>
          <t>validation/revalidation.py::R4</t>
        </is>
      </c>
      <c r="J17" s="79" t="inlineStr">
        <is>
          <t>SUPERSEDED</t>
        </is>
      </c>
      <c r="K17" s="80" t="inlineStr">
        <is>
          <t>Open</t>
        </is>
      </c>
      <c r="L17" s="80" t="n"/>
      <c r="M17" s="80" t="n"/>
    </row>
    <row r="18" ht="35.05" customHeight="1" s="36">
      <c r="A18" s="77" t="inlineStr">
        <is>
          <t>E-4</t>
        </is>
      </c>
      <c r="B18" s="77" t="inlineStr">
        <is>
          <t>L3</t>
        </is>
      </c>
      <c r="C18" s="77" t="inlineStr">
        <is>
          <t>validation/layer3_external.py</t>
        </is>
      </c>
      <c r="D18" s="78" t="inlineStr">
        <is>
          <t>ERRATUM: rare-TRANSITION 'headline figure' also circular</t>
        </is>
      </c>
      <c r="E18" s="78" t="inlineStr">
        <is>
          <t>surprise = -log P; P row-normalised from the same count matrix that defines the labels</t>
        </is>
      </c>
      <c r="F18" s="86" t="inlineStr">
        <is>
          <t>Critical</t>
        </is>
      </c>
      <c r="G18" s="78" t="inlineStr">
        <is>
          <t>Spearman(surprise, -transition count) = 0.69 (1UBQ), 0.87 (1CRN)</t>
        </is>
      </c>
      <c r="H18" s="78" t="inlineStr">
        <is>
          <t>OPEN - withdraw as headline benchmark claim  || As E-3. The non-circular replacement exists (Phase 4) and does not support the original claim.</t>
        </is>
      </c>
      <c r="I18" s="78" t="inlineStr">
        <is>
          <t>validation/revalidation.py::R5</t>
        </is>
      </c>
      <c r="J18" s="79" t="inlineStr">
        <is>
          <t>SUPERSEDED</t>
        </is>
      </c>
      <c r="K18" s="80" t="inlineStr">
        <is>
          <t>Open</t>
        </is>
      </c>
      <c r="L18" s="80" t="n"/>
      <c r="M18" s="80" t="n"/>
    </row>
    <row r="19" ht="23.85" customHeight="1" s="36">
      <c r="A19" s="49" t="inlineStr">
        <is>
          <t>E-5</t>
        </is>
      </c>
      <c r="B19" s="49" t="inlineStr">
        <is>
          <t>L2</t>
        </is>
      </c>
      <c r="C19" s="49" t="inlineStr">
        <is>
          <t>validation/layer2_msm_validity.py</t>
        </is>
      </c>
      <c r="D19" s="50" t="inlineStr">
        <is>
          <t>ERRATUM: VAMP-2 saturation attributed to overfitting; actually a degenerate test set</t>
        </is>
      </c>
      <c r="E19" s="50" t="inlineStr">
        <is>
          <t>100 frames -&gt; 20 test frames -&gt; only 5 lagged pairs at lag 15</t>
        </is>
      </c>
      <c r="F19" s="51" t="inlineStr">
        <is>
          <t>Medium</t>
        </is>
      </c>
      <c r="G19" s="50" t="inlineStr">
        <is>
          <t>Conclusion (cannot justify hyper-parameters) unchanged; stated mechanism was wrong</t>
        </is>
      </c>
      <c r="H19" s="50" t="inlineStr">
        <is>
          <t>Documented - re-run when trajectories are longer</t>
        </is>
      </c>
      <c r="I19" s="50" t="inlineStr">
        <is>
          <t>validation/revalidation.py::R6</t>
        </is>
      </c>
      <c r="J19" s="55" t="inlineStr">
        <is>
          <t>N/A</t>
        </is>
      </c>
      <c r="K19" s="48" t="inlineStr">
        <is>
          <t>Documented</t>
        </is>
      </c>
      <c r="L19" s="48" t="n"/>
      <c r="M19" s="48" t="n"/>
    </row>
    <row r="20" ht="23.85" customHeight="1" s="36">
      <c r="A20" s="44" t="inlineStr">
        <is>
          <t>E-6</t>
        </is>
      </c>
      <c r="B20" s="44" t="inlineStr">
        <is>
          <t>Doc</t>
        </is>
      </c>
      <c r="C20" s="44" t="inlineStr">
        <is>
          <t>VALIDATION_REPORT.md 3.5</t>
        </is>
      </c>
      <c r="D20" s="45" t="inlineStr">
        <is>
          <t>ERRATUM: edge-case count stated as 21; actual suite is 25</t>
        </is>
      </c>
      <c r="E20" s="45" t="inlineStr">
        <is>
          <t>Prose written from an earlier draft of the suite</t>
        </is>
      </c>
      <c r="F20" s="52" t="inlineStr">
        <is>
          <t>Info</t>
        </is>
      </c>
      <c r="G20" s="45" t="inlineStr">
        <is>
          <t>edge_results_POSTFIX.json contains 25 cases</t>
        </is>
      </c>
      <c r="H20" s="45" t="inlineStr">
        <is>
          <t>Corrected in ERRATA section</t>
        </is>
      </c>
      <c r="I20" s="45" t="inlineStr">
        <is>
          <t>validation/revalidation.py::R7</t>
        </is>
      </c>
      <c r="J20" s="53" t="inlineStr">
        <is>
          <t>N/A</t>
        </is>
      </c>
      <c r="K20" s="48" t="inlineStr">
        <is>
          <t>Documented</t>
        </is>
      </c>
      <c r="L20" s="48" t="n"/>
      <c r="M20" s="48" t="n"/>
    </row>
    <row r="21" ht="46.25" customHeight="1" s="36">
      <c r="A21" s="49" t="inlineStr">
        <is>
          <t>D-09</t>
        </is>
      </c>
      <c r="B21" s="49" t="inlineStr">
        <is>
          <t>L1</t>
        </is>
      </c>
      <c r="C21" s="49" t="inlineStr">
        <is>
          <t>run_all_proteins.py / batch_runner.py</t>
        </is>
      </c>
      <c r="D21" s="50" t="inlineStr">
        <is>
          <t>Default moving-median smoothing erases isolated single-frame anomalies</t>
        </is>
      </c>
      <c r="E21" s="50" t="inlineStr">
        <is>
          <t>moving_median(window=3..5) is applied unconditionally to the fused score</t>
        </is>
      </c>
      <c r="F21" s="46" t="inlineStr">
        <is>
          <t>Critical</t>
        </is>
      </c>
      <c r="G21" s="50" t="inlineStr">
        <is>
          <t>Phase 1 seeded-anomaly test: scattered-mode AUROC 0.839 unsmoothed vs 0.550 at window=3 (-0.29). The pipeline is blind to transient rare events at default settings</t>
        </is>
      </c>
      <c r="H21" s="50" t="inlineStr">
        <is>
          <t>Smoothing now opt-in: window default 1 (OFF) in run_all_proteins + batch_runner; CSV also carries a reference score_dynamic_smoothed_w5 column</t>
        </is>
      </c>
      <c r="I21" s="50" t="inlineStr">
        <is>
          <t>test_smoothing_is_off_by_default; test_isolated_spike_survives_default_scoring; validation/d09_impact.json</t>
        </is>
      </c>
      <c r="J21" s="47" t="inlineStr">
        <is>
          <t>PASS</t>
        </is>
      </c>
      <c r="K21" s="48" t="inlineStr">
        <is>
          <t>Fixed</t>
        </is>
      </c>
      <c r="L21" s="48" t="n"/>
      <c r="M21" s="48" t="n"/>
    </row>
    <row r="22" ht="35.05" customHeight="1" s="36">
      <c r="A22" s="77" t="inlineStr">
        <is>
          <t>P1-1</t>
        </is>
      </c>
      <c r="B22" s="77" t="inlineStr">
        <is>
          <t>L3</t>
        </is>
      </c>
      <c r="C22" s="77" t="inlineStr">
        <is>
          <t>Method scope</t>
        </is>
      </c>
      <c r="D22" s="78" t="inlineStr">
        <is>
          <t>PHASE 1: pipeline loses to a trivial baseline on seeded structural anomalies</t>
        </is>
      </c>
      <c r="E22" s="78" t="inlineStr">
        <is>
          <t>450 K frames are globally expanded; RMSD-from-mean separates them perfectly</t>
        </is>
      </c>
      <c r="F22" s="86" t="inlineStr">
        <is>
          <t>Critical</t>
        </is>
      </c>
      <c r="G22" s="78" t="inlineStr">
        <is>
          <t>Burst mode: rmsd_from_mean AUROC 1.000 vs pipeline_fused 0.831. Acceptance criterion A2 FAILED</t>
        </is>
      </c>
      <c r="H22" s="78" t="inlineStr">
        <is>
          <t>OPEN - either restrict claims to kinetic anomalies, or demonstrate added value over RMSD  || CHARACTERISED 2026-08-29 by Phase 5: static detectors have a relocation effect of EXACTLY +0.000 at every duration - their absolute AUROCs come entirely from frame identity. P1-1 is one end of a measured operating axis, not a defect.</t>
        </is>
      </c>
      <c r="I22" s="78" t="inlineStr">
        <is>
          <t>validation/phase1_seeded_anomaly.py (5 replicates, pre-registered criteria)</t>
        </is>
      </c>
      <c r="J22" s="84" t="inlineStr">
        <is>
          <t>PASS</t>
        </is>
      </c>
      <c r="K22" s="81" t="inlineStr">
        <is>
          <t>Documented</t>
        </is>
      </c>
      <c r="L22" s="80" t="n"/>
      <c r="M22" s="80" t="n"/>
    </row>
    <row r="23" ht="35.05" customHeight="1" s="36">
      <c r="A23" s="82" t="inlineStr">
        <is>
          <t>P1-2</t>
        </is>
      </c>
      <c r="B23" s="82" t="inlineStr">
        <is>
          <t>L3</t>
        </is>
      </c>
      <c r="C23" s="82" t="inlineStr">
        <is>
          <t>scoring/anomaly_v2.py</t>
        </is>
      </c>
      <c r="D23" s="83" t="inlineStr">
        <is>
          <t>PHASE 1: transition surprise is BELOW chance on sustained rare states</t>
        </is>
      </c>
      <c r="E23" s="83" t="inlineStr">
        <is>
          <t>Within a contiguous rare-state block, hot-&gt;hot transitions are self-consistent so P is high and surprise LOW</t>
        </is>
      </c>
      <c r="F23" s="87" t="inlineStr">
        <is>
          <t>High</t>
        </is>
      </c>
      <c r="G23" s="83" t="inlineStr">
        <is>
          <t>Burst mode surprise_only AUROC 0.351 (below 0.5 = anti-correlated with truth)</t>
        </is>
      </c>
      <c r="H23" s="83" t="inlineStr">
        <is>
          <t>OPEN - surprise detects state CHANGES, not sustained residence in a rare state  || EXPLAINED 2026-08-29 by Phase 5: surprise's relocation effect decays monotonically with dwell duration (rho=-0.415, p=3.4e-03), because -log P scores the MOVE not the DWELL. Mechanism confirmed within-subject.</t>
        </is>
      </c>
      <c r="I23" s="83" t="inlineStr">
        <is>
          <t>validation/phase1_seeded_anomaly.py burst mode</t>
        </is>
      </c>
      <c r="J23" s="90" t="inlineStr">
        <is>
          <t>PASS</t>
        </is>
      </c>
      <c r="K23" s="81" t="inlineStr">
        <is>
          <t>Documented</t>
        </is>
      </c>
      <c r="L23" s="80" t="n"/>
      <c r="M23" s="80" t="n"/>
    </row>
    <row r="24" ht="46.25" customHeight="1" s="36">
      <c r="A24" s="77" t="inlineStr">
        <is>
          <t>P2-1</t>
        </is>
      </c>
      <c r="B24" s="77" t="inlineStr">
        <is>
          <t>L3</t>
        </is>
      </c>
      <c r="C24" s="77" t="inlineStr">
        <is>
          <t>Method scope</t>
        </is>
      </c>
      <c r="D24" s="78" t="inlineStr">
        <is>
          <t>PHASE 2: kinetic channel detects geometrically invisible transitions (B1 marginally missed)</t>
        </is>
      </c>
      <c r="E24" s="78" t="inlineStr">
        <is>
          <t>Temporal scrambling: real frames, identical ensemble, only frame ORDER altered</t>
        </is>
      </c>
      <c r="F24" s="87" t="inlineStr">
        <is>
          <t>High</t>
        </is>
      </c>
      <c r="G24" s="78" t="inlineStr">
        <is>
          <t>near mode: surprise 0.741 +/- 0.113 vs frame_to_frame_rmsd 0.500 and all time-blind detectors 0.471-0.546. B1 missed by 0.009 (bar 0.75); B2 and B4 passed decisively</t>
        </is>
      </c>
      <c r="H24" s="78" t="inlineStr">
        <is>
          <t>OPEN - replicate on longer trajectories (ATLAS/mdCATH) against the SAME 0.75 bar  || RESOLVED 2026-08-29. Phase 2 missed the 0.75 bar by 0.009 on ONE system (villin, 250 frames). Phase 3, same bar unchanged: median surprise 0.816 across 25 independent proteins, IQR 0.774-0.840, 80% of proteins clear the bar, beats best time-blind on 25/25, Wilcoxon p=3.0e-08.</t>
        </is>
      </c>
      <c r="I24" s="78" t="inlineStr">
        <is>
          <t>validation/phase2_temporal_scramble.py (12 replicates, pre-registered)</t>
        </is>
      </c>
      <c r="J24" s="88" t="inlineStr">
        <is>
          <t>PASS</t>
        </is>
      </c>
      <c r="K24" s="81" t="inlineStr">
        <is>
          <t>Fixed</t>
        </is>
      </c>
      <c r="L24" s="80" t="n"/>
      <c r="M24" s="80" t="n"/>
    </row>
    <row r="25" ht="35.05" customHeight="1" s="36">
      <c r="A25" s="49" t="inlineStr">
        <is>
          <t>P2-2</t>
        </is>
      </c>
      <c r="B25" s="49" t="inlineStr">
        <is>
          <t>L3</t>
        </is>
      </c>
      <c r="C25" s="49" t="inlineStr">
        <is>
          <t>Test design</t>
        </is>
      </c>
      <c r="D25" s="50" t="inlineStr">
        <is>
          <t>PHASE 2 CONTROL PASSES: identity-null at chance, naive jump detector defeated</t>
        </is>
      </c>
      <c r="E25" s="50" t="inlineStr">
        <is>
          <t>Null control keeps blocks in original order; near mode joins blocks at structurally similar endpoints</t>
        </is>
      </c>
      <c r="F25" s="57" t="inlineStr">
        <is>
          <t>Info</t>
        </is>
      </c>
      <c r="G25" s="50" t="inlineStr">
        <is>
          <t>identity_null surprise 0.501; near-mode frame_to_frame_rmsd 0.500 - junctions are geometrically invisible by construction</t>
        </is>
      </c>
      <c r="H25" s="50" t="inlineStr">
        <is>
          <t>No action - validates the experimental design</t>
        </is>
      </c>
      <c r="I25" s="50" t="inlineStr">
        <is>
          <t>validation/phase2_temporal_scramble.py identity_null + near modes</t>
        </is>
      </c>
      <c r="J25" s="47" t="inlineStr">
        <is>
          <t>PASS</t>
        </is>
      </c>
      <c r="K25" s="48" t="inlineStr">
        <is>
          <t>Documented</t>
        </is>
      </c>
      <c r="L25" s="48" t="n"/>
      <c r="M25" s="48" t="n"/>
    </row>
    <row r="26" ht="35.05" customHeight="1" s="36">
      <c r="A26" s="77" t="inlineStr">
        <is>
          <t>P2-3</t>
        </is>
      </c>
      <c r="B26" s="77" t="inlineStr">
        <is>
          <t>L3</t>
        </is>
      </c>
      <c r="C26" s="77" t="inlineStr">
        <is>
          <t>Pre-registration</t>
        </is>
      </c>
      <c r="D26" s="78" t="inlineStr">
        <is>
          <t>PHASE 2: rarity was mis-classified as time-blind in the pre-registered criteria</t>
        </is>
      </c>
      <c r="E26" s="78" t="inlineStr">
        <is>
          <t>rarity = 1 - pi, and pi is estimated from the transition count matrix, so it inherits temporal information</t>
        </is>
      </c>
      <c r="F26" s="87" t="inlineStr">
        <is>
          <t>Medium</t>
        </is>
      </c>
      <c r="G26" s="78" t="inlineStr">
        <is>
          <t>rarity 0.611 broke the 0.40-0.60 band and failed B3; all genuinely time-blind detectors were in band</t>
        </is>
      </c>
      <c r="H26" s="78" t="inlineStr">
        <is>
          <t>OPEN - recorded as a pre-registration flaw, NOT silently corrected; corrected replication must be run separately  || HANDLED 2026-08-29. rarity_only is excluded from criterion C3 in aggregate() with the reason recorded (pi is estimated from transition counts, so it inherits temporal information). Phase 3 confirms the concern was real: rarity_only reaches 0.606, above the 0.40-0.60 band, while the five genuine time-blind detectors stay inside it. Display label corrected so it no longer reads '(time-blind)'.</t>
        </is>
      </c>
      <c r="I26" s="78" t="inlineStr">
        <is>
          <t>validation/phase2_results.json::post_hoc_diagnosis</t>
        </is>
      </c>
      <c r="J26" s="79" t="inlineStr">
        <is>
          <t>N/A</t>
        </is>
      </c>
      <c r="K26" s="80" t="inlineStr">
        <is>
          <t>Documented</t>
        </is>
      </c>
      <c r="L26" s="80" t="n"/>
      <c r="M26" s="80" t="n"/>
    </row>
    <row r="27" ht="35.05" customHeight="1" s="36">
      <c r="A27" s="49" t="inlineStr">
        <is>
          <t>P1-3</t>
        </is>
      </c>
      <c r="B27" s="49" t="inlineStr">
        <is>
          <t>L3</t>
        </is>
      </c>
      <c r="C27" s="49" t="inlineStr">
        <is>
          <t>Test design</t>
        </is>
      </c>
      <c r="D27" s="50" t="inlineStr">
        <is>
          <t>PHASE 1 PASSES: null control confirms no splice artefact</t>
        </is>
      </c>
      <c r="E27" s="50" t="inlineStr">
        <is>
          <t>Frames spliced from the same 300 K pool should not be flagged</t>
        </is>
      </c>
      <c r="F27" s="57" t="inlineStr">
        <is>
          <t>Info</t>
        </is>
      </c>
      <c r="G27" s="50" t="inlineStr">
        <is>
          <t>Null-control pipeline_fused AUROC 0.402 (band 0.40-0.60). Detectors are responding to physics, not to the splice operation</t>
        </is>
      </c>
      <c r="H27" s="50" t="inlineStr">
        <is>
          <t>No action - validates the test design itself</t>
        </is>
      </c>
      <c r="I27" s="50" t="inlineStr">
        <is>
          <t>validation/phase1_seeded_anomaly.py null mode</t>
        </is>
      </c>
      <c r="J27" s="47" t="inlineStr">
        <is>
          <t>PASS</t>
        </is>
      </c>
      <c r="K27" s="48" t="inlineStr">
        <is>
          <t>Documented</t>
        </is>
      </c>
      <c r="L27" s="48" t="n"/>
      <c r="M27" s="48" t="n"/>
    </row>
    <row r="28"/>
    <row r="29" ht="15" customHeight="1" s="36">
      <c r="A29" s="41" t="inlineStr">
        <is>
          <t>LEGEND</t>
        </is>
      </c>
    </row>
    <row r="30" ht="15" customHeight="1" s="36">
      <c r="A30" s="38" t="inlineStr">
        <is>
          <t>Yellow cells are for you to fill in when re-verifying. 'Fix verified' = result at time of the Aug-2026 campaign. D-xx = defect, O-xx = observation (not a code defect).</t>
        </is>
      </c>
    </row>
    <row r="31" ht="15" customHeight="1" s="36">
      <c r="A31" s="38" t="inlineStr">
        <is>
          <t>EXAMPLE ROW -&gt;</t>
        </is>
      </c>
      <c r="K31" s="58" t="inlineStr">
        <is>
          <t>Re-verified</t>
        </is>
      </c>
      <c r="L31" s="58" t="inlineStr">
        <is>
          <t>S. Jethliya</t>
        </is>
      </c>
      <c r="M31" s="58" t="inlineStr">
        <is>
          <t>2026-09-01</t>
        </is>
      </c>
    </row>
    <row r="32">
      <c r="A32" s="74" t="inlineStr">
        <is>
          <t>D-11</t>
        </is>
      </c>
      <c r="B32" s="74" t="inlineStr">
        <is>
          <t>L4</t>
        </is>
      </c>
      <c r="C32" s="74" t="inlineStr">
        <is>
          <t>validation/phase3_fetch_atlas.py</t>
        </is>
      </c>
      <c r="D32" s="74" t="inlineStr">
        <is>
          <t>ATLAS system list returned identifiers that do not exist; 20/20 downloads HTTP 404</t>
        </is>
      </c>
      <c r="E32" s="74" t="inlineStr">
        <is>
          <t>/parsable returns ONE archive covering ATLAS + chameleon + DPF; the parser walked every .tsv/.txt in archive order and took column 0, so 2022 chameleon/DPF ids were returned for the /ATLAS/ namespace</t>
        </is>
      </c>
      <c r="F32" s="74" t="inlineStr">
        <is>
          <t>Critical</t>
        </is>
      </c>
      <c r="G32" s="74" t="inlineStr">
        <is>
          <t>Phase 3 could not run at all: 0 systems fetched</t>
        </is>
      </c>
      <c r="H32" s="74" t="inlineStr">
        <is>
          <t>Select ATLAS member files only, newest release first; parse info TSV by HEADER NAME; validate each candidate against /ATLAS/metadata/{id} before downloading; --n now means N systems that arrived</t>
        </is>
      </c>
      <c r="I32" s="74" t="inlineStr">
        <is>
          <t>manual: --dump-list + 24/24 fetched</t>
        </is>
      </c>
      <c r="J32" s="74" t="inlineStr">
        <is>
          <t>PASS</t>
        </is>
      </c>
      <c r="K32" s="74" t="inlineStr">
        <is>
          <t>Fixed</t>
        </is>
      </c>
      <c r="L32" s="74" t="inlineStr"/>
      <c r="M32" s="74" t="inlineStr">
        <is>
          <t>2026-08-29</t>
        </is>
      </c>
    </row>
    <row r="33">
      <c r="A33" s="74" t="inlineStr">
        <is>
          <t>D-12</t>
        </is>
      </c>
      <c r="B33" s="74" t="inlineStr">
        <is>
          <t>L4</t>
        </is>
      </c>
      <c r="C33" s="74" t="inlineStr">
        <is>
          <t>msm/preflight.py</t>
        </is>
      </c>
      <c r="D33" s="74" t="inlineStr">
        <is>
          <t>Suitability screen was one-sided: diffusive ensembles passed as 'suitable'</t>
        </is>
      </c>
      <c r="E33" s="74" t="inlineStr">
        <is>
          <t>Only tested for an ensemble that was too TIGHT (single basin). No upper guard, so a chain that never revisits any structure (0.5% medoid occupancy = 1 frame in 200) was accepted</t>
        </is>
      </c>
      <c r="F33" s="74" t="inlineStr">
        <is>
          <t>Critical</t>
        </is>
      </c>
      <c r="G33" s="74" t="inlineStr">
        <is>
          <t>60/63 trajectories wrongly cleared for an expensive sweep where an MSM has no states to find</t>
        </is>
      </c>
      <c r="H33" s="74" t="inlineStr">
        <is>
          <t>Basin census: leader clustering at 2 A, count clusters holding &gt;=5% of frames; unsuitable when that count is 0</t>
        </is>
      </c>
      <c r="I33" s="74" t="inlineStr">
        <is>
          <t>T-22 test_suitability_rejects_diffusive_ensemble; T-23 accepts_two_basin</t>
        </is>
      </c>
      <c r="J33" s="74" t="inlineStr">
        <is>
          <t>PASS</t>
        </is>
      </c>
      <c r="K33" s="74" t="inlineStr">
        <is>
          <t>Fixed</t>
        </is>
      </c>
      <c r="L33" s="74" t="inlineStr"/>
      <c r="M33" s="74" t="inlineStr">
        <is>
          <t>2026-08-29</t>
        </is>
      </c>
    </row>
    <row r="34">
      <c r="A34" s="74" t="inlineStr">
        <is>
          <t>D-13</t>
        </is>
      </c>
      <c r="B34" s="74" t="inlineStr">
        <is>
          <t>L4</t>
        </is>
      </c>
      <c r="C34" s="74" t="inlineStr">
        <is>
          <t>msm/preflight.py</t>
        </is>
      </c>
      <c r="D34" s="74" t="inlineStr">
        <is>
          <t>Diffusive veto had a knife edge: rejected genuine multi-basin ensembles</t>
        </is>
      </c>
      <c r="E34" s="74" t="inlineStr">
        <is>
          <t>Veto keyed on largest_occupancy &lt; 10%. 3dso_A_R2 (33 clusters, top 9.0%, SIX clusters over 5%) was rejected as diffusive while its own replicate at 18.4% was accepted</t>
        </is>
      </c>
      <c r="F34" s="74" t="inlineStr">
        <is>
          <t>High</t>
        </is>
      </c>
      <c r="G34" s="74" t="inlineStr">
        <is>
          <t>5+ trajectories per batch mis-verdicted on a 1-percentage-point threshold</t>
        </is>
      </c>
      <c r="H34" s="74" t="inlineStr">
        <is>
          <t>Veto now keys on the populated-cluster count (n_basins_ge_5pct == 0), which is threshold-robust</t>
        </is>
      </c>
      <c r="I34" s="74" t="inlineStr">
        <is>
          <t>T-24 test_suitability_accepts_many_small_basins</t>
        </is>
      </c>
      <c r="J34" s="74" t="inlineStr">
        <is>
          <t>PASS</t>
        </is>
      </c>
      <c r="K34" s="74" t="inlineStr">
        <is>
          <t>Fixed</t>
        </is>
      </c>
      <c r="L34" s="74" t="inlineStr"/>
      <c r="M34" s="74" t="inlineStr">
        <is>
          <t>2026-08-29</t>
        </is>
      </c>
    </row>
    <row r="35">
      <c r="A35" s="74" t="inlineStr">
        <is>
          <t>D-14</t>
        </is>
      </c>
      <c r="B35" s="74" t="inlineStr">
        <is>
          <t>L5</t>
        </is>
      </c>
      <c r="C35" s="74" t="inlineStr">
        <is>
          <t>validation/phase4_functional_enrichment.py</t>
        </is>
      </c>
      <c r="D35" s="74" t="inlineStr">
        <is>
          <t>Five proteins lost to '0 residues matched between MD and crystal numbering'</t>
        </is>
      </c>
      <c r="E35" s="74" t="inlineStr">
        <is>
          <t>ATLAS topologies do not always carry the deposited entry's author numbering; matching was on resSeq alone</t>
        </is>
      </c>
      <c r="F35" s="74" t="inlineStr">
        <is>
          <t>High</t>
        </is>
      </c>
      <c r="G35" s="74" t="inlineStr">
        <is>
          <t>1upt_D, 3bpj_B, 3bzl_D, 4eo1_A, 6l4p_B silently dropped from the Phase 4 sample</t>
        </is>
      </c>
      <c r="H35" s="74" t="inlineStr">
        <is>
          <t>align_md_to_crystal(): resSeq first, then slide residue-NAME sequences and take the best offset; name agreement required per position</t>
        </is>
      </c>
      <c r="I35" s="74" t="inlineStr">
        <is>
          <t>T-25 test_phase4_alignment_survives_renumbering</t>
        </is>
      </c>
      <c r="J35" s="74" t="inlineStr">
        <is>
          <t>PASS</t>
        </is>
      </c>
      <c r="K35" s="74" t="inlineStr">
        <is>
          <t>Fixed</t>
        </is>
      </c>
      <c r="L35" s="74" t="inlineStr"/>
      <c r="M35" s="74" t="inlineStr">
        <is>
          <t>2026-08-29</t>
        </is>
      </c>
    </row>
    <row r="36">
      <c r="A36" s="74" t="inlineStr">
        <is>
          <t>D-15</t>
        </is>
      </c>
      <c r="B36" s="74" t="inlineStr">
        <is>
          <t>L5</t>
        </is>
      </c>
      <c r="C36" s="74" t="inlineStr">
        <is>
          <t>validation/phase4_functional_enrichment.py</t>
        </is>
      </c>
      <c r="D36" s="74" t="inlineStr">
        <is>
          <t>Run crashed on save after computing every number (np.bool_ not JSON serializable)</t>
        </is>
      </c>
      <c r="E36" s="74" t="inlineStr">
        <is>
          <t>json.dumps has no encoder for numpy scalar types</t>
        </is>
      </c>
      <c r="F36" s="74" t="inlineStr">
        <is>
          <t>Medium</t>
        </is>
      </c>
      <c r="G36" s="74" t="inlineStr">
        <is>
          <t>First Phase 4 run produced no results file</t>
        </is>
      </c>
      <c r="H36" s="74" t="inlineStr">
        <is>
          <t>_json_safe() default encoder for np.bool_/integer/floating/ndarray</t>
        </is>
      </c>
      <c r="I36" s="74" t="inlineStr">
        <is>
          <t>manual: results file written</t>
        </is>
      </c>
      <c r="J36" s="74" t="inlineStr">
        <is>
          <t>PASS</t>
        </is>
      </c>
      <c r="K36" s="74" t="inlineStr">
        <is>
          <t>Fixed</t>
        </is>
      </c>
      <c r="L36" s="74" t="inlineStr"/>
      <c r="M36" s="74" t="inlineStr">
        <is>
          <t>2026-08-29</t>
        </is>
      </c>
    </row>
    <row r="37">
      <c r="A37" s="74" t="inlineStr">
        <is>
          <t>D-16</t>
        </is>
      </c>
      <c r="B37" s="74" t="inlineStr">
        <is>
          <t>L5</t>
        </is>
      </c>
      <c r="C37" s="74" t="inlineStr">
        <is>
          <t>validation/phase4_functional_enrichment.py</t>
        </is>
      </c>
      <c r="D37" s="74" t="inlineStr">
        <is>
          <t>AUROC computed on degenerate labels (3 positives; 77 of 86 positives)</t>
        </is>
      </c>
      <c r="E37" s="74" t="inlineStr">
        <is>
          <t>No validity precondition on the label before scoring</t>
        </is>
      </c>
      <c r="F37" s="74" t="inlineStr">
        <is>
          <t>High</t>
        </is>
      </c>
      <c r="G37" s="74" t="inlineStr">
        <is>
          <t>3dso_A returned 0.831 on THREE labelled residues - the best number in the first table and pure noise</t>
        </is>
      </c>
      <c r="H37" s="74" t="inlineStr">
        <is>
          <t>label_is_valid(): &gt;=5 positives, &gt;=5 negatives, prevalence 5-80%, applied identically to both arms</t>
        </is>
      </c>
      <c r="I37" s="74" t="inlineStr">
        <is>
          <t>T-26 test_phase4_label_validity_gate</t>
        </is>
      </c>
      <c r="J37" s="74" t="inlineStr">
        <is>
          <t>PASS</t>
        </is>
      </c>
      <c r="K37" s="74" t="inlineStr">
        <is>
          <t>Fixed</t>
        </is>
      </c>
      <c r="L37" s="74" t="inlineStr"/>
      <c r="M37" s="74" t="inlineStr">
        <is>
          <t>2026-08-29</t>
        </is>
      </c>
    </row>
    <row r="38">
      <c r="A38" s="74" t="inlineStr">
        <is>
          <t>D-17</t>
        </is>
      </c>
      <c r="B38" s="74" t="inlineStr">
        <is>
          <t>L4</t>
        </is>
      </c>
      <c r="C38" s="74" t="inlineStr">
        <is>
          <t>scoring/anomaly_v2.py::fuse_signals</t>
        </is>
      </c>
      <c r="D38" s="74" t="inlineStr">
        <is>
          <t>The pipeline's PRIMARY output (fused score) is beaten by a single channel in every regime tested</t>
        </is>
      </c>
      <c r="E38" s="74" t="inlineStr">
        <is>
          <t>Median fusion of three rank-normalised channels averages a strong signal with two weak ones. Because the channels dissociate by anomaly type (surprise scores the MOVE, rarity/density score the DWELL), whichever channel is right for the situation is always diluted by the two that are wrong</t>
        </is>
      </c>
      <c r="F38" s="74" t="inlineStr">
        <is>
          <t>Critical</t>
        </is>
      </c>
      <c r="G38" s="74" t="inlineStr">
        <is>
          <t>Sustained rare states (Phase 1 burst): fused 0.831 vs rmsd_from_mean 1.000 and density 0.826. Kinetic transitions (Phase 3, 25 proteins): fused 0.666 vs surprise 0.816. Fusion costs 0.150 AUROC on the regime the method is supposed to own</t>
        </is>
      </c>
      <c r="H38" s="74" t="inlineStr">
        <is>
          <t>PROPOSED: route rather than fuse - report channels separately and select by anomaly type. Phase 5 (validation/phase5_channel_dissociation.py) tests the dissociation within-subject with a duration sweep and criterion G4 tests whether fusion ever wins  || CONFIRMED 2026-08-29 by Phase 5 criterion G4: pipeline_fused is below the best single channel at EVERY duration. The product should ROUTE to a channel, not fuse. Closes OI-9.</t>
        </is>
      </c>
      <c r="I38" s="74" t="inlineStr">
        <is>
          <t>pending Phase 5</t>
        </is>
      </c>
      <c r="J38" s="74" t="inlineStr">
        <is>
          <t>PASS</t>
        </is>
      </c>
      <c r="K38" s="91" t="inlineStr">
        <is>
          <t>Confirmed</t>
        </is>
      </c>
      <c r="L38" s="74" t="inlineStr"/>
      <c r="M38" s="74" t="inlineStr">
        <is>
          <t>2026-08-29</t>
        </is>
      </c>
    </row>
    <row r="39">
      <c r="A39" s="74" t="inlineStr">
        <is>
          <t>D-18</t>
        </is>
      </c>
      <c r="B39" s="74" t="inlineStr">
        <is>
          <t>L4</t>
        </is>
      </c>
      <c r="C39" s="74" t="inlineStr">
        <is>
          <t>validation/phase2_temporal_scramble.py + phase3_scale.py</t>
        </is>
      </c>
      <c r="D39" s="74" t="inlineStr">
        <is>
          <t>Three controls the anomaly-detection benchmarking literature treats as mandatory were absent</t>
        </is>
      </c>
      <c r="E39" s="74" t="inlineStr">
        <is>
          <t>Harness predates the standards audit. No random-score null, no literal one-line detector, and AUPRC was computed by metrics() but discarded by Phase 3</t>
        </is>
      </c>
      <c r="F39" s="74" t="inlineStr">
        <is>
          <t>High</t>
        </is>
      </c>
      <c r="G39" s="74" t="inlineStr">
        <is>
          <t>Their absence is close to an automatic rejection in the current climate: Kim et al. (AAAI 2022) proved random scores can look excellent under common protocols; Wu &amp; Keogh (TKDE 2023) showed one-liners solve 86% of the Yahoo benchmark</t>
        </is>
      </c>
      <c r="H39" s="74" t="inlineStr">
        <is>
          <t>Added random_score (gated as C6), abs_diff_oneliner, and PR-AUC aggregation. C6 is an additional gate and cannot loosen C1-C4</t>
        </is>
      </c>
      <c r="I39" s="74" t="inlineStr">
        <is>
          <t>T-28, T-29, T-30</t>
        </is>
      </c>
      <c r="J39" s="74" t="inlineStr">
        <is>
          <t>pending re-run</t>
        </is>
      </c>
      <c r="K39" s="74" t="inlineStr">
        <is>
          <t>Fixed</t>
        </is>
      </c>
      <c r="L39" s="74" t="inlineStr"/>
      <c r="M39" s="74" t="inlineStr">
        <is>
          <t>2026-08-29</t>
        </is>
      </c>
    </row>
    <row r="40">
      <c r="A40" s="74" t="inlineStr">
        <is>
          <t>D-19</t>
        </is>
      </c>
      <c r="B40" s="74" t="inlineStr">
        <is>
          <t>L4</t>
        </is>
      </c>
      <c r="C40" s="74" t="inlineStr">
        <is>
          <t>validation/phase2_temporal_scramble.py</t>
        </is>
      </c>
      <c r="D40" s="74" t="inlineStr">
        <is>
          <t>The triviality-trap defence was asserted, never measured</t>
        </is>
      </c>
      <c r="E40" s="74" t="inlineStr">
        <is>
          <t>Near mode splices at geometrically matched endpoints specifically so junctions are geometrically ordinary, but no run reported the seam distance distribution</t>
        </is>
      </c>
      <c r="F40" s="74" t="inlineStr">
        <is>
          <t>High</t>
        </is>
      </c>
      <c r="G40" s="74" t="inlineStr">
        <is>
          <t>CONFIRMED ON REAL DATA 2026-08-29: junction step 3.432 A vs ordinary 1.653 A (2.19x, 100th percentile). abs_diff_oneliner 0.839 AUROC / 0.227 PR beats surprise_only 0.814 / 0.082 on 17 of 25 proteins, Wilcoxon p=4.4e-03. The Phase 3 headline claim is retracted (report Sec 12).</t>
        </is>
      </c>
      <c r="H40" s="74" t="inlineStr">
        <is>
          <t>run_system now records junction vs ordinary CA-RMSD per replicate; aggregate reports ratio and percentile with an explicit verdict line</t>
        </is>
      </c>
      <c r="I40" s="74" t="inlineStr">
        <is>
          <t>T-31</t>
        </is>
      </c>
      <c r="J40" s="74" t="inlineStr">
        <is>
          <t>FAILED</t>
        </is>
      </c>
      <c r="K40" s="89" t="inlineStr">
        <is>
          <t>Confirmed</t>
        </is>
      </c>
      <c r="L40" s="74" t="inlineStr"/>
      <c r="M40" s="74" t="inlineStr">
        <is>
          <t>2026-08-29</t>
        </is>
      </c>
    </row>
    <row r="41">
      <c r="A41" s="74" t="inlineStr">
        <is>
          <t>E-7</t>
        </is>
      </c>
      <c r="B41" s="74" t="inlineStr">
        <is>
          <t>L4</t>
        </is>
      </c>
      <c r="C41" s="74" t="inlineStr">
        <is>
          <t>validation/phase3_scale.py + phase2_temporal_scramble.py</t>
        </is>
      </c>
      <c r="D41" s="74" t="inlineStr">
        <is>
          <t>ERRATUM: Phase 3 headline claim retracted - transition surprise is beaten by a four-line detector</t>
        </is>
      </c>
      <c r="E41" s="74" t="inlineStr">
        <is>
          <t>C2/C3 compared only against the TIME-BLIND family. The trivial TEMPORAL baseline was absent from the harness until 2026-08-29, so all six criteria could pass while a one-liner won. Root cause is the near-mode construction: with 9 blocks over 1001 frames the greedy matcher cannot find geometrically ordinary seams, so junctions land at the 100th percentile of ordinary steps</t>
        </is>
      </c>
      <c r="F41" s="74" t="inlineStr">
        <is>
          <t>Critical</t>
        </is>
      </c>
      <c r="G41" s="74" t="inlineStr">
        <is>
          <t>abs_diff_oneliner 0.839 AUROC (0.227 PR-AUC) vs surprise_only 0.814 (0.082). Beats surprise on 17/25 proteins, p=4.4e-03. PR-AUC ratio 2.8x. C1-C6 all still report pass</t>
        </is>
      </c>
      <c r="H41" s="74" t="inlineStr">
        <is>
          <t>PENDING: rebuild the construction so junctions are genuinely invisible (reject-and-recut on feature-space step), re-register criteria before running, and add abs_diff_oneliner to the C2/C3 comparison families</t>
        </is>
      </c>
      <c r="I41" s="74" t="inlineStr">
        <is>
          <t>T-29 (detects it); construction fix untested</t>
        </is>
      </c>
      <c r="J41" s="74" t="inlineStr">
        <is>
          <t>FAILED</t>
        </is>
      </c>
      <c r="K41" s="89" t="inlineStr">
        <is>
          <t>Open</t>
        </is>
      </c>
      <c r="L41" s="74" t="inlineStr"/>
      <c r="M41" s="74" t="inlineStr">
        <is>
          <t>2026-08-29</t>
        </is>
      </c>
    </row>
    <row r="42">
      <c r="A42" s="74" t="inlineStr">
        <is>
          <t>D-20</t>
        </is>
      </c>
      <c r="B42" s="74" t="inlineStr">
        <is>
          <t>L4</t>
        </is>
      </c>
      <c r="C42" s="74" t="inlineStr">
        <is>
          <t>validation/phase2_temporal_scramble.py</t>
        </is>
      </c>
      <c r="D42" s="74" t="inlineStr">
        <is>
          <t>The random-score null was not random - one fixed vector reused everywhere</t>
        </is>
      </c>
      <c r="E42" s="74" t="inlineStr">
        <is>
          <t>Seeded default_rng(seed) with seed fixed at 42, so every replicate and every protein got the identical ranking</t>
        </is>
      </c>
      <c r="F42" s="74" t="inlineStr">
        <is>
          <t>High</t>
        </is>
      </c>
      <c r="G42" s="74" t="inlineStr">
        <is>
          <t>Picked up positional structure: 0.614 at Phase 5 D=1 where it must be 0.500. Phase 3 C6 of 0.506 was luck, not a validated null</t>
        </is>
      </c>
      <c r="H42" s="74" t="inlineStr">
        <is>
          <t>Seeded from a CRC32 of a coordinate subsample: varies with the permutation, still reproducible. Re-run: C6 = 0.503 [IQR 0.481-0.522], Phase 5 G5 now PASSES</t>
        </is>
      </c>
      <c r="I42" s="74" t="inlineStr">
        <is>
          <t>C6 gate; Phase 5 G5</t>
        </is>
      </c>
      <c r="J42" s="74" t="inlineStr">
        <is>
          <t>PASS</t>
        </is>
      </c>
      <c r="K42" s="91" t="inlineStr">
        <is>
          <t>Fixed</t>
        </is>
      </c>
      <c r="L42" s="74" t="inlineStr"/>
      <c r="M42" s="74" t="inlineStr">
        <is>
          <t>2026-08-29</t>
        </is>
      </c>
    </row>
    <row r="43">
      <c r="A43" s="74" t="inlineStr">
        <is>
          <t>D-21</t>
        </is>
      </c>
      <c r="B43" s="74" t="inlineStr">
        <is>
          <t>L5</t>
        </is>
      </c>
      <c r="C43" s="74" t="inlineStr">
        <is>
          <t>validation/phase5_channel_dissociation.py</t>
        </is>
      </c>
      <c r="D43" s="74" t="inlineStr">
        <is>
          <t>Phase 5 null criterion (G5 v1) was unsatisfiable by construction</t>
        </is>
      </c>
      <c r="E43" s="74" t="inlineStr">
        <is>
          <t>Required every channel at chance in the null, but the source window is drawn from the structurally distant quartile, so its frames are unusual whether or not they were moved. rmsd_from_mean scored 0.837 reading identity alone</t>
        </is>
      </c>
      <c r="F43" s="74" t="inlineStr">
        <is>
          <t>High</t>
        </is>
      </c>
      <c r="G43" s="74" t="inlineStr">
        <is>
          <t>First Phase 5 run failed G5 and correctly declared itself invalid</t>
        </is>
      </c>
      <c r="H43" s="74" t="inlineStr">
        <is>
          <t>All criteria restated on the RELOCATION EFFECT = AUROC(relocated) - AUROC(null) per protein, which cancels identity. Stricter than the original: a channel must beat its own identity-only score, not chance</t>
        </is>
      </c>
      <c r="I43" s="74" t="inlineStr">
        <is>
          <t>Phase 5 v2/v3</t>
        </is>
      </c>
      <c r="J43" s="74" t="inlineStr">
        <is>
          <t>PASS</t>
        </is>
      </c>
      <c r="K43" s="91" t="inlineStr">
        <is>
          <t>Fixed</t>
        </is>
      </c>
      <c r="L43" s="74" t="inlineStr"/>
      <c r="M43" s="74" t="inlineStr">
        <is>
          <t>2026-08-29</t>
        </is>
      </c>
    </row>
    <row r="44">
      <c r="A44" s="74" t="inlineStr">
        <is>
          <t>E-8</t>
        </is>
      </c>
      <c r="B44" s="74" t="inlineStr">
        <is>
          <t>L6</t>
        </is>
      </c>
      <c r="C44" s="74" t="inlineStr">
        <is>
          <t>Method scope</t>
        </is>
      </c>
      <c r="D44" s="74" t="inlineStr">
        <is>
          <t>ERRATUM: transition surprise provides no early warning of conformational transitions</t>
        </is>
      </c>
      <c r="E44" s="74" t="inlineStr">
        <is>
          <t>Phase 6 on UNMODIFIED trajectories: surprise's peak within the pre-event window is uniformly distributed, i.e. indistinguishable from a random score. There is no precursor signal to catch</t>
        </is>
      </c>
      <c r="F44" s="74" t="inlineStr">
        <is>
          <t>Critical</t>
        </is>
      </c>
      <c r="G44" s="74" t="inlineStr">
        <is>
          <t>median lead 26.0 vs random 25.0 (p=0.487). L2 50.8% (coin flip), L3 p=0.526. Only the GEOMETRIC detectors carry timing information, and they peak LATE as they should: rmsd_from_mean 18.0 (p=0.005), frame_to_frame_rmsd 16.0 (p=0.024). L1/L4 'pass' on 1-frame differences and are meaningless</t>
        </is>
      </c>
      <c r="H44" s="74" t="inlineStr">
        <is>
          <t>None - this is a finding, not a defect to repair. Third independent design to reach the same conclusion (Phase 3 detection, Phase 5 identity-cancelled detection, Phase 6 timing)</t>
        </is>
      </c>
      <c r="I44" s="74" t="inlineStr">
        <is>
          <t>Phase 6 L1-L5</t>
        </is>
      </c>
      <c r="J44" s="74" t="inlineStr">
        <is>
          <t>FAILED</t>
        </is>
      </c>
      <c r="K44" s="89" t="inlineStr">
        <is>
          <t>Open</t>
        </is>
      </c>
      <c r="L44" s="74" t="inlineStr"/>
      <c r="M44" s="74" t="inlineStr">
        <is>
          <t>2026-08-29</t>
        </is>
      </c>
    </row>
    <row r="45">
      <c r="A45" s="74" t="inlineStr">
        <is>
          <t>D-22</t>
        </is>
      </c>
      <c r="B45" s="74" t="inlineStr">
        <is>
          <t>L6</t>
        </is>
      </c>
      <c r="C45" s="74" t="inlineStr">
        <is>
          <t>validation/phase6_lead_time.py</t>
        </is>
      </c>
      <c r="D45" s="74" t="inlineStr">
        <is>
          <t>Firing rule was base-rate driven; random scored a 38-frame lead by construction</t>
        </is>
      </c>
      <c r="E45" s="74" t="inlineStr">
        <is>
          <t>v1 fired at the first frame above the detector's own 95th percentile. 5% of frames cross, so in a 50-frame window a random score crosses 93% of the time and the FIRST crossing is early by construction</t>
        </is>
      </c>
      <c r="F45" s="74" t="inlineStr">
        <is>
          <t>High</t>
        </is>
      </c>
      <c r="G45" s="74" t="inlineStr">
        <is>
          <t>First live run showed random_score at 35-41 frames, ahead of both real detectors. Also dropped every event where the comparator was quiet, biasing the paired test</t>
        </is>
      </c>
      <c r="H45" s="74" t="inlineStr">
        <is>
          <t>Firing is now the PEAK in the window: null distribution uniform, expected lead exactly max_lead/2 for every detector, always defined so no event is dropped. L5 recalibrated to max_lead/2 +/- 5</t>
        </is>
      </c>
      <c r="I45" s="74" t="inlineStr">
        <is>
          <t>Phase 6 L5 (now passes at 28.0 vs 25.0)</t>
        </is>
      </c>
      <c r="J45" s="74" t="inlineStr">
        <is>
          <t>PASS</t>
        </is>
      </c>
      <c r="K45" s="91" t="inlineStr">
        <is>
          <t>Fixed</t>
        </is>
      </c>
      <c r="L45" s="74" t="inlineStr"/>
      <c r="M45" s="74" t="inlineStr">
        <is>
          <t>2026-08-29</t>
        </is>
      </c>
    </row>
    <row r="46">
      <c r="A46" s="74" t="inlineStr">
        <is>
          <t>D-23</t>
        </is>
      </c>
      <c r="B46" s="74" t="inlineStr">
        <is>
          <t>L7</t>
        </is>
      </c>
      <c r="C46" s="74" t="inlineStr">
        <is>
          <t>validation/phase7_rarity_calibration.py</t>
        </is>
      </c>
      <c r="D46" s="74" t="inlineStr">
        <is>
          <t>Rare-state label collapsed to 'never visited', making Spearman a tie-block artefact</t>
        </is>
      </c>
      <c r="E46" s="74" t="inlineStr">
        <is>
          <t>RARE_QUANTILE=0.10 was intended as the bottom decile of held-out population, but a median 26 of 76 training states have zero held-out frequency, so the 10th percentile IS zero and the label became 'every unvisited state' - 12 to 57 of 82 depending on protein</t>
        </is>
      </c>
      <c r="F46" s="74" t="inlineStr">
        <is>
          <t>High</t>
        </is>
      </c>
      <c r="G46" s="74" t="inlineStr">
        <is>
          <t>Raw counting (no MSM) scored rho = -0.508 on 24 of 24 proteins. A no-model baseline cannot genuinely anti-predict held-out frequency that consistently; the whole run is uninterpretable</t>
        </is>
      </c>
      <c r="H46" s="74" t="inlineStr">
        <is>
          <t>FIXED 2026-08-29 (v3): shared-support restriction, rank-based rare label, coverage gate at 0.50, and a permanent R7 random-split control. R7 gives +0.620 where the replicate split gives -0.515, proving the harness is sound and the anti-correlation is real.</t>
        </is>
      </c>
      <c r="I46" s="74" t="inlineStr">
        <is>
          <t>R5 (shuffled pi) + R7 (random split control)</t>
        </is>
      </c>
      <c r="J46" s="74" t="inlineStr">
        <is>
          <t>PASS</t>
        </is>
      </c>
      <c r="K46" s="91" t="inlineStr">
        <is>
          <t>Fixed</t>
        </is>
      </c>
      <c r="L46" s="74" t="inlineStr"/>
      <c r="M46" s="74" t="inlineStr">
        <is>
          <t>2026-08-29</t>
        </is>
      </c>
    </row>
    <row r="47">
      <c r="A47" s="74" t="inlineStr">
        <is>
          <t>F-1</t>
        </is>
      </c>
      <c r="B47" s="74" t="inlineStr">
        <is>
          <t>L7</t>
        </is>
      </c>
      <c r="C47" s="74" t="inlineStr">
        <is>
          <t>Data / sampling</t>
        </is>
      </c>
      <c r="D47" s="74" t="inlineStr">
        <is>
          <t>FINDING: ATLAS replicates of the same protein ANTI-OCCUPY each other's states</t>
        </is>
      </c>
      <c r="E47" s="74" t="inlineStr">
        <is>
          <t>Not a defect. Three 100 ns runs of the same protein at the same temperature do not sample a common distribution. Within states visited by both training and held-out replicates, the states one replicate occupies most are those the others occupy least</t>
        </is>
      </c>
      <c r="F47" s="74" t="inlineStr">
        <is>
          <t>Critical</t>
        </is>
      </c>
      <c r="G47" s="74" t="inlineStr">
        <is>
          <t>Spearman(pi_train, pi_heldout) = -0.515 on shared support, 18 proteins; raw counting -0.548. The R7 control, splitting frames at random and ignoring replicate identity, gives +0.620 on the same clustering. Coverage gate excluded 7 of 25 proteins; on 4v1g_B 93% of the held-out replicate sits in states the training replicates never entered</t>
        </is>
      </c>
      <c r="H47" s="74" t="inlineStr">
        <is>
          <t>None available at this sampling level. Requires the 10,000-frame archives (OI-15) or a dataset that supplies populations directly (OI-18). Consequence: 1-pi must not be shown to users as improbability, and no pi-derived quantity may be reported on 100 ns data</t>
        </is>
      </c>
      <c r="I47" s="74" t="inlineStr">
        <is>
          <t>Phase 7 R1/R2 (fail), R7 (pass)</t>
        </is>
      </c>
      <c r="J47" s="74" t="inlineStr">
        <is>
          <t>N/A</t>
        </is>
      </c>
      <c r="K47" s="74" t="inlineStr">
        <is>
          <t>Open</t>
        </is>
      </c>
      <c r="L47" s="74" t="inlineStr"/>
      <c r="M47" s="74" t="inlineStr">
        <is>
          <t>2026-08-29</t>
        </is>
      </c>
    </row>
  </sheetData>
  <dataValidations count="1">
    <dataValidation sqref="K4:K27" showDropDown="0" showInputMessage="0" showErrorMessage="0" allowBlank="1" type="list" errorStyle="stop" operator="between">
      <formula1>"Fixed,Partially fixed,Re-verified,Open,Documented,Regressed"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3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42" customWidth="1" style="35" min="2" max="2"/>
    <col width="30" customWidth="1" style="35" min="3" max="3"/>
    <col width="13" customWidth="1" style="35" min="4" max="4"/>
    <col width="52" customWidth="1" style="35" min="5" max="5"/>
    <col width="24" customWidth="1" style="35" min="6" max="6"/>
    <col width="11" customWidth="1" style="35" min="7" max="8"/>
    <col width="14" customWidth="1" style="35" min="9" max="9"/>
    <col width="12" customWidth="1" style="35" min="10" max="10"/>
  </cols>
  <sheetData>
    <row r="1" ht="17.35" customHeight="1" s="36">
      <c r="A1" s="42" t="inlineStr">
        <is>
          <t>Verification Traceability Matrix — test to defect mapping</t>
        </is>
      </c>
    </row>
    <row r="2" ht="15" customHeight="1" s="36">
      <c r="A2" s="38" t="inlineStr">
        <is>
          <t>Every automated test, what it proves, and which defect it guards. Run all with: python -m pytest tests/test_production_scoring.py -v</t>
        </is>
      </c>
    </row>
    <row r="3" ht="30" customHeight="1" s="36">
      <c r="A3" s="43" t="inlineStr">
        <is>
          <t>Test ID</t>
        </is>
      </c>
      <c r="B3" s="43" t="inlineStr">
        <is>
          <t>Test name</t>
        </is>
      </c>
      <c r="C3" s="43" t="inlineStr">
        <is>
          <t>File</t>
        </is>
      </c>
      <c r="D3" s="43" t="inlineStr">
        <is>
          <t>Guards defect</t>
        </is>
      </c>
      <c r="E3" s="43" t="inlineStr">
        <is>
          <t>What it asserts</t>
        </is>
      </c>
      <c r="F3" s="43" t="inlineStr">
        <is>
          <t>Expected result</t>
        </is>
      </c>
      <c r="G3" s="43" t="inlineStr">
        <is>
          <t>Last run</t>
        </is>
      </c>
      <c r="H3" s="43" t="inlineStr">
        <is>
          <t>Result</t>
        </is>
      </c>
      <c r="I3" s="43" t="inlineStr">
        <is>
          <t>Run by</t>
        </is>
      </c>
      <c r="J3" s="43" t="inlineStr">
        <is>
          <t>Date</t>
        </is>
      </c>
    </row>
    <row r="4" ht="23.85" customHeight="1" s="36">
      <c r="A4" s="44" t="inlineStr">
        <is>
          <t>T-01</t>
        </is>
      </c>
      <c r="B4" s="45" t="inlineStr">
        <is>
          <t>test_remap_matches_state_symbols</t>
        </is>
      </c>
      <c r="C4" s="44" t="inlineStr">
        <is>
          <t>tests/test_production_scoring.py</t>
        </is>
      </c>
      <c r="D4" s="44" t="inlineStr">
        <is>
          <t>D-01</t>
        </is>
      </c>
      <c r="E4" s="45" t="inlineStr">
        <is>
          <t>Every frame in a surviving state maps to index of its label in state_symbols; dropped states map to -1</t>
        </is>
      </c>
      <c r="F4" s="45" t="inlineStr">
        <is>
          <t>PASS</t>
        </is>
      </c>
      <c r="G4" s="44" t="inlineStr">
        <is>
          <t>2026-08-15</t>
        </is>
      </c>
      <c r="H4" s="47" t="inlineStr">
        <is>
          <t>PASS</t>
        </is>
      </c>
      <c r="I4" s="48" t="n"/>
      <c r="J4" s="48" t="n"/>
    </row>
    <row r="5" ht="23.85" customHeight="1" s="36">
      <c r="A5" s="49" t="inlineStr">
        <is>
          <t>T-02</t>
        </is>
      </c>
      <c r="B5" s="50" t="inlineStr">
        <is>
          <t>test_rarity_uses_correct_pi_row</t>
        </is>
      </c>
      <c r="C5" s="49" t="inlineStr">
        <is>
          <t>tests/test_production_scoring.py</t>
        </is>
      </c>
      <c r="D5" s="49" t="inlineStr">
        <is>
          <t>D-01</t>
        </is>
      </c>
      <c r="E5" s="50" t="inlineStr">
        <is>
          <t>rarity[t] == 1 - pi[active_index(label_t)] for every frame; disconnected frames == 1.0</t>
        </is>
      </c>
      <c r="F5" s="50" t="inlineStr">
        <is>
          <t>PASS</t>
        </is>
      </c>
      <c r="G5" s="49" t="inlineStr">
        <is>
          <t>2026-08-15</t>
        </is>
      </c>
      <c r="H5" s="47" t="inlineStr">
        <is>
          <t>PASS</t>
        </is>
      </c>
      <c r="I5" s="48" t="n"/>
      <c r="J5" s="48" t="n"/>
    </row>
    <row r="6" ht="15" customHeight="1" s="36">
      <c r="A6" s="44" t="inlineStr">
        <is>
          <t>T-03</t>
        </is>
      </c>
      <c r="B6" s="45" t="inlineStr">
        <is>
          <t>test_surprise_uses_correct_P_entries</t>
        </is>
      </c>
      <c r="C6" s="44" t="inlineStr">
        <is>
          <t>tests/test_production_scoring.py</t>
        </is>
      </c>
      <c r="D6" s="44" t="inlineStr">
        <is>
          <t>D-01</t>
        </is>
      </c>
      <c r="E6" s="45" t="inlineStr">
        <is>
          <t>surprise[t] == -log P[idx(a), idx(b)] for all valid transitions</t>
        </is>
      </c>
      <c r="F6" s="45" t="inlineStr">
        <is>
          <t>PASS</t>
        </is>
      </c>
      <c r="G6" s="44" t="inlineStr">
        <is>
          <t>2026-08-15</t>
        </is>
      </c>
      <c r="H6" s="47" t="inlineStr">
        <is>
          <t>PASS</t>
        </is>
      </c>
      <c r="I6" s="48" t="n"/>
      <c r="J6" s="48" t="n"/>
    </row>
    <row r="7" ht="23.85" customHeight="1" s="36">
      <c r="A7" s="49" t="inlineStr">
        <is>
          <t>T-04</t>
        </is>
      </c>
      <c r="B7" s="50" t="inlineStr">
        <is>
          <t>test_negative_labels_do_not_wrap_around</t>
        </is>
      </c>
      <c r="C7" s="49" t="inlineStr">
        <is>
          <t>tests/test_production_scoring.py</t>
        </is>
      </c>
      <c r="D7" s="49" t="inlineStr">
        <is>
          <t>D-01</t>
        </is>
      </c>
      <c r="E7" s="50" t="inlineStr">
        <is>
          <t>Label -3 treated as invalid (rarity 1.0), not as Python negative index</t>
        </is>
      </c>
      <c r="F7" s="50" t="inlineStr">
        <is>
          <t>PASS</t>
        </is>
      </c>
      <c r="G7" s="49" t="inlineStr">
        <is>
          <t>2026-08-15</t>
        </is>
      </c>
      <c r="H7" s="47" t="inlineStr">
        <is>
          <t>PASS</t>
        </is>
      </c>
      <c r="I7" s="48" t="n"/>
      <c r="J7" s="48" t="n"/>
    </row>
    <row r="8" ht="23.85" customHeight="1" s="36">
      <c r="A8" s="44" t="inlineStr">
        <is>
          <t>T-05</t>
        </is>
      </c>
      <c r="B8" s="45" t="inlineStr">
        <is>
          <t>test_tied_values_get_equal_scores</t>
        </is>
      </c>
      <c r="C8" s="44" t="inlineStr">
        <is>
          <t>tests/test_production_scoring.py</t>
        </is>
      </c>
      <c r="D8" s="44" t="inlineStr">
        <is>
          <t>D-02</t>
        </is>
      </c>
      <c r="E8" s="45" t="inlineStr">
        <is>
          <t>Equal inputs receive equal normalised scores; ordering across groups preserved</t>
        </is>
      </c>
      <c r="F8" s="45" t="inlineStr">
        <is>
          <t>PASS</t>
        </is>
      </c>
      <c r="G8" s="44" t="inlineStr">
        <is>
          <t>2026-08-15</t>
        </is>
      </c>
      <c r="H8" s="47" t="inlineStr">
        <is>
          <t>PASS</t>
        </is>
      </c>
      <c r="I8" s="48" t="n"/>
      <c r="J8" s="48" t="n"/>
    </row>
    <row r="9" ht="23.85" customHeight="1" s="36">
      <c r="A9" s="49" t="inlineStr">
        <is>
          <t>T-06</t>
        </is>
      </c>
      <c r="B9" s="50" t="inlineStr">
        <is>
          <t>test_tie_spread_is_zero_for_large_tie_group</t>
        </is>
      </c>
      <c r="C9" s="49" t="inlineStr">
        <is>
          <t>tests/test_production_scoring.py</t>
        </is>
      </c>
      <c r="D9" s="49" t="inlineStr">
        <is>
          <t>D-02</t>
        </is>
      </c>
      <c r="E9" s="50" t="inlineStr">
        <is>
          <t>50 tied zeros have peak-to-peak spread of exactly 0 after normalisation</t>
        </is>
      </c>
      <c r="F9" s="50" t="inlineStr">
        <is>
          <t>PASS</t>
        </is>
      </c>
      <c r="G9" s="49" t="inlineStr">
        <is>
          <t>2026-08-15</t>
        </is>
      </c>
      <c r="H9" s="47" t="inlineStr">
        <is>
          <t>PASS</t>
        </is>
      </c>
      <c r="I9" s="48" t="n"/>
      <c r="J9" s="48" t="n"/>
    </row>
    <row r="10" ht="15" customHeight="1" s="36">
      <c r="A10" s="44" t="inlineStr">
        <is>
          <t>T-07</t>
        </is>
      </c>
      <c r="B10" s="45" t="inlineStr">
        <is>
          <t>test_rank_normalize_constant_and_empty</t>
        </is>
      </c>
      <c r="C10" s="44" t="inlineStr">
        <is>
          <t>tests/test_production_scoring.py</t>
        </is>
      </c>
      <c r="D10" s="44" t="inlineStr">
        <is>
          <t>D-02</t>
        </is>
      </c>
      <c r="E10" s="45" t="inlineStr">
        <is>
          <t>Empty array returns empty; constant array returns all zeros</t>
        </is>
      </c>
      <c r="F10" s="45" t="inlineStr">
        <is>
          <t>PASS</t>
        </is>
      </c>
      <c r="G10" s="44" t="inlineStr">
        <is>
          <t>2026-08-15</t>
        </is>
      </c>
      <c r="H10" s="47" t="inlineStr">
        <is>
          <t>PASS</t>
        </is>
      </c>
      <c r="I10" s="48" t="n"/>
      <c r="J10" s="48" t="n"/>
    </row>
    <row r="11" ht="23.85" customHeight="1" s="36">
      <c r="A11" s="49" t="inlineStr">
        <is>
          <t>T-08</t>
        </is>
      </c>
      <c r="B11" s="50" t="inlineStr">
        <is>
          <t>test_disconnected_transition_is_max_surprise_not_zero</t>
        </is>
      </c>
      <c r="C11" s="49" t="inlineStr">
        <is>
          <t>tests/test_production_scoring.py</t>
        </is>
      </c>
      <c r="D11" s="49" t="inlineStr">
        <is>
          <t>D-03</t>
        </is>
      </c>
      <c r="E11" s="50" t="inlineStr">
        <is>
          <t>Transitions touching a pruned state equal the max finite surprise, never 0</t>
        </is>
      </c>
      <c r="F11" s="50" t="inlineStr">
        <is>
          <t>PASS</t>
        </is>
      </c>
      <c r="G11" s="49" t="inlineStr">
        <is>
          <t>2026-08-15</t>
        </is>
      </c>
      <c r="H11" s="47" t="inlineStr">
        <is>
          <t>PASS</t>
        </is>
      </c>
      <c r="I11" s="48" t="n"/>
      <c r="J11" s="48" t="n"/>
    </row>
    <row r="12" ht="23.85" customHeight="1" s="36">
      <c r="A12" s="44" t="inlineStr">
        <is>
          <t>T-09</t>
        </is>
      </c>
      <c r="B12" s="45" t="inlineStr">
        <is>
          <t>test_surprise_tail_is_nan_and_fusion_stays_finite</t>
        </is>
      </c>
      <c r="C12" s="44" t="inlineStr">
        <is>
          <t>tests/test_production_scoring.py</t>
        </is>
      </c>
      <c r="D12" s="44" t="inlineStr">
        <is>
          <t>D-03</t>
        </is>
      </c>
      <c r="E12" s="45" t="inlineStr">
        <is>
          <t>Last lag frames are NaN; fused score remains finite and within [0,1]</t>
        </is>
      </c>
      <c r="F12" s="45" t="inlineStr">
        <is>
          <t>PASS</t>
        </is>
      </c>
      <c r="G12" s="44" t="inlineStr">
        <is>
          <t>2026-08-15</t>
        </is>
      </c>
      <c r="H12" s="47" t="inlineStr">
        <is>
          <t>PASS</t>
        </is>
      </c>
      <c r="I12" s="48" t="n"/>
      <c r="J12" s="48" t="n"/>
    </row>
    <row r="13" ht="23.85" customHeight="1" s="36">
      <c r="A13" s="49" t="inlineStr">
        <is>
          <t>T-10</t>
        </is>
      </c>
      <c r="B13" s="50" t="inlineStr">
        <is>
          <t>test_residue_scores_not_pure_rmsf</t>
        </is>
      </c>
      <c r="C13" s="49" t="inlineStr">
        <is>
          <t>tests/test_production_scoring.py</t>
        </is>
      </c>
      <c r="D13" s="49" t="inlineStr">
        <is>
          <t>D-04</t>
        </is>
      </c>
      <c r="E13" s="50" t="inlineStr">
        <is>
          <t>Two different frame-score vectors produce different residue scores on identical geometry</t>
        </is>
      </c>
      <c r="F13" s="50" t="inlineStr">
        <is>
          <t>PASS</t>
        </is>
      </c>
      <c r="G13" s="49" t="inlineStr">
        <is>
          <t>2026-08-15</t>
        </is>
      </c>
      <c r="H13" s="47" t="inlineStr">
        <is>
          <t>PASS</t>
        </is>
      </c>
      <c r="I13" s="48" t="n"/>
      <c r="J13" s="48" t="n"/>
    </row>
    <row r="14" ht="15" customHeight="1" s="36">
      <c r="A14" s="44" t="inlineStr">
        <is>
          <t>T-11</t>
        </is>
      </c>
      <c r="B14" s="45" t="inlineStr">
        <is>
          <t>test_residue_keys_do_not_collide_across_chains</t>
        </is>
      </c>
      <c r="C14" s="44" t="inlineStr">
        <is>
          <t>tests/test_production_scoring.py</t>
        </is>
      </c>
      <c r="D14" s="44" t="inlineStr">
        <is>
          <t>D-05</t>
        </is>
      </c>
      <c r="E14" s="45" t="inlineStr">
        <is>
          <t>2-chain x 2-residue fixture yields 4 dict entries, not 2</t>
        </is>
      </c>
      <c r="F14" s="45" t="inlineStr">
        <is>
          <t>PASS</t>
        </is>
      </c>
      <c r="G14" s="44" t="inlineStr">
        <is>
          <t>2026-08-15</t>
        </is>
      </c>
      <c r="H14" s="47" t="inlineStr">
        <is>
          <t>PASS</t>
        </is>
      </c>
      <c r="I14" s="48" t="n"/>
      <c r="J14" s="48" t="n"/>
    </row>
    <row r="15" ht="23.85" customHeight="1" s="36">
      <c r="A15" s="49" t="inlineStr">
        <is>
          <t>T-12</t>
        </is>
      </c>
      <c r="B15" s="50" t="inlineStr">
        <is>
          <t>test_asvs_export_not_constant</t>
        </is>
      </c>
      <c r="C15" s="49" t="inlineStr">
        <is>
          <t>tests/test_production_scoring.py</t>
        </is>
      </c>
      <c r="D15" s="49" t="inlineStr">
        <is>
          <t>D-06</t>
        </is>
      </c>
      <c r="E15" s="50" t="inlineStr">
        <is>
          <t>Export varies across frames/residues; spot value frame1 x res1 == 0.72 exactly</t>
        </is>
      </c>
      <c r="F15" s="50" t="inlineStr">
        <is>
          <t>PASS</t>
        </is>
      </c>
      <c r="G15" s="49" t="inlineStr">
        <is>
          <t>2026-08-15</t>
        </is>
      </c>
      <c r="H15" s="47" t="inlineStr">
        <is>
          <t>PASS</t>
        </is>
      </c>
      <c r="I15" s="48" t="n"/>
      <c r="J15" s="48" t="n"/>
    </row>
    <row r="16" ht="23.85" customHeight="1" s="36">
      <c r="A16" s="44" t="inlineStr">
        <is>
          <t>S-01</t>
        </is>
      </c>
      <c r="B16" s="45" t="inlineStr">
        <is>
          <t>Numerical validation script</t>
        </is>
      </c>
      <c r="C16" s="44" t="inlineStr">
        <is>
          <t>validation/baseline_numerical.py</t>
        </is>
      </c>
      <c r="D16" s="44" t="inlineStr">
        <is>
          <t>D-01,D-02,D-04</t>
        </is>
      </c>
      <c r="E16" s="45" t="inlineStr">
        <is>
          <t>Quantifies active-set impact, tie spread, residue-vs-RMSF correlation on real proteins</t>
        </is>
      </c>
      <c r="F16" s="45" t="inlineStr">
        <is>
          <t>JSON written</t>
        </is>
      </c>
      <c r="G16" s="44" t="inlineStr">
        <is>
          <t>2026-08-15</t>
        </is>
      </c>
      <c r="H16" s="47" t="inlineStr">
        <is>
          <t>PASS</t>
        </is>
      </c>
      <c r="I16" s="48" t="n"/>
      <c r="J16" s="48" t="n"/>
    </row>
    <row r="17" ht="23.85" customHeight="1" s="36">
      <c r="A17" s="49" t="inlineStr">
        <is>
          <t>S-02</t>
        </is>
      </c>
      <c r="B17" s="50" t="inlineStr">
        <is>
          <t>Edge-case suite (25 cases)</t>
        </is>
      </c>
      <c r="C17" s="49" t="inlineStr">
        <is>
          <t>validation/baseline_edge_cases.py</t>
        </is>
      </c>
      <c r="D17" s="49" t="inlineStr">
        <is>
          <t>D-01,D-03</t>
        </is>
      </c>
      <c r="E17" s="50" t="inlineStr">
        <is>
          <t>Short trajectories, disconnected blocks, degenerate inputs, invalid labels against production path</t>
        </is>
      </c>
      <c r="F17" s="50" t="inlineStr">
        <is>
          <t>23 ok / 2 expected fail-fast</t>
        </is>
      </c>
      <c r="G17" s="49" t="inlineStr">
        <is>
          <t>2026-08-15</t>
        </is>
      </c>
      <c r="H17" s="47" t="inlineStr">
        <is>
          <t>PASS</t>
        </is>
      </c>
      <c r="I17" s="48" t="n"/>
      <c r="J17" s="48" t="n"/>
    </row>
    <row r="18" ht="23.85" customHeight="1" s="36">
      <c r="A18" s="44" t="inlineStr">
        <is>
          <t>S-03</t>
        </is>
      </c>
      <c r="B18" s="45" t="inlineStr">
        <is>
          <t>Rare-case accuracy</t>
        </is>
      </c>
      <c r="C18" s="44" t="inlineStr">
        <is>
          <t>validation/baseline_rare_case.py</t>
        </is>
      </c>
      <c r="D18" s="44" t="inlineStr">
        <is>
          <t>D-01,D-03</t>
        </is>
      </c>
      <c r="E18" s="45" t="inlineStr">
        <is>
          <t>AUROC/AUPRC of fused + per-channel scores vs operational kinetic labels</t>
        </is>
      </c>
      <c r="F18" s="45" t="inlineStr">
        <is>
          <t>AUROC &gt;= 0.90 rare-state</t>
        </is>
      </c>
      <c r="G18" s="44" t="inlineStr">
        <is>
          <t>2026-08-15</t>
        </is>
      </c>
      <c r="H18" s="47" t="inlineStr">
        <is>
          <t>PASS</t>
        </is>
      </c>
      <c r="I18" s="48" t="n"/>
      <c r="J18" s="48" t="n"/>
    </row>
    <row r="19" ht="23.85" customHeight="1" s="36">
      <c r="A19" s="49" t="inlineStr">
        <is>
          <t>S-04</t>
        </is>
      </c>
      <c r="B19" s="50" t="inlineStr">
        <is>
          <t>MSM validity battery</t>
        </is>
      </c>
      <c r="C19" s="49" t="inlineStr">
        <is>
          <t>validation/layer2_msm_validity.py</t>
        </is>
      </c>
      <c r="D19" s="49" t="inlineStr">
        <is>
          <t>D-07,D-08,O-11</t>
        </is>
      </c>
      <c r="E19" s="50" t="inlineStr">
        <is>
          <t>CK test, implied timescales, VAMP-2 grid, block-bootstrap CIs + 15 figures</t>
        </is>
      </c>
      <c r="F19" s="50" t="inlineStr">
        <is>
          <t>JSON + figures written</t>
        </is>
      </c>
      <c r="G19" s="49" t="inlineStr">
        <is>
          <t>2026-08-15</t>
        </is>
      </c>
      <c r="H19" s="47" t="inlineStr">
        <is>
          <t>PASS</t>
        </is>
      </c>
      <c r="I19" s="48" t="n"/>
      <c r="J19" s="48" t="n"/>
    </row>
    <row r="20" ht="15" customHeight="1" s="36">
      <c r="A20" s="44" t="inlineStr">
        <is>
          <t>S-05</t>
        </is>
      </c>
      <c r="B20" s="45" t="inlineStr">
        <is>
          <t>External validation</t>
        </is>
      </c>
      <c r="C20" s="44" t="inlineStr">
        <is>
          <t>validation/layer3_external.py</t>
        </is>
      </c>
      <c r="D20" s="44" t="inlineStr">
        <is>
          <t>D-04,D-05</t>
        </is>
      </c>
      <c r="E20" s="45" t="inlineStr">
        <is>
          <t>B-factor correlation and baseline-method comparison</t>
        </is>
      </c>
      <c r="F20" s="45" t="inlineStr">
        <is>
          <t>rho &gt;= 0.55 both systems</t>
        </is>
      </c>
      <c r="G20" s="44" t="inlineStr">
        <is>
          <t>2026-08-15</t>
        </is>
      </c>
      <c r="H20" s="47" t="inlineStr">
        <is>
          <t>PASS</t>
        </is>
      </c>
      <c r="I20" s="48" t="n"/>
      <c r="J20" s="48" t="n"/>
    </row>
    <row r="21" ht="23.85" customHeight="1" s="36">
      <c r="A21" s="49" t="inlineStr">
        <is>
          <t>T-13</t>
        </is>
      </c>
      <c r="B21" s="50" t="inlineStr">
        <is>
          <t>test_smoothing_is_off_by_default</t>
        </is>
      </c>
      <c r="C21" s="49" t="inlineStr">
        <is>
          <t>tests/test_production_scoring.py</t>
        </is>
      </c>
      <c r="D21" s="49" t="inlineStr">
        <is>
          <t>D-09</t>
        </is>
      </c>
      <c r="E21" s="50" t="inlineStr">
        <is>
          <t>compute_anomaly_signals window parameter defaults to 1 (no smoothing)</t>
        </is>
      </c>
      <c r="F21" s="50" t="inlineStr">
        <is>
          <t>PASS</t>
        </is>
      </c>
      <c r="G21" s="49" t="inlineStr">
        <is>
          <t>2026-08-23</t>
        </is>
      </c>
      <c r="H21" s="47" t="inlineStr">
        <is>
          <t>PASS</t>
        </is>
      </c>
      <c r="I21" s="48" t="n"/>
      <c r="J21" s="48" t="n"/>
    </row>
    <row r="22" ht="23.85" customHeight="1" s="36">
      <c r="A22" s="44" t="inlineStr">
        <is>
          <t>T-14</t>
        </is>
      </c>
      <c r="B22" s="45" t="inlineStr">
        <is>
          <t>test_isolated_spike_survives_default_scoring</t>
        </is>
      </c>
      <c r="C22" s="44" t="inlineStr">
        <is>
          <t>tests/test_production_scoring.py</t>
        </is>
      </c>
      <c r="D22" s="44" t="inlineStr">
        <is>
          <t>D-09</t>
        </is>
      </c>
      <c r="E22" s="45" t="inlineStr">
        <is>
          <t>A single injected tICA outlier remains the top-ranked frame under default settings</t>
        </is>
      </c>
      <c r="F22" s="45" t="inlineStr">
        <is>
          <t>PASS</t>
        </is>
      </c>
      <c r="G22" s="44" t="inlineStr">
        <is>
          <t>2026-08-23</t>
        </is>
      </c>
      <c r="H22" s="47" t="inlineStr">
        <is>
          <t>PASS</t>
        </is>
      </c>
      <c r="I22" s="48" t="n"/>
      <c r="J22" s="48" t="n"/>
    </row>
    <row r="23" ht="23.85" customHeight="1" s="36">
      <c r="A23" s="49" t="inlineStr">
        <is>
          <t>S-06</t>
        </is>
      </c>
      <c r="B23" s="50" t="inlineStr">
        <is>
          <t>Adversarial re-validation</t>
        </is>
      </c>
      <c r="C23" s="49" t="inlineStr">
        <is>
          <t>validation/revalidation.py</t>
        </is>
      </c>
      <c r="D23" s="49" t="inlineStr">
        <is>
          <t>E-1..E-6</t>
        </is>
      </c>
      <c r="E23" s="50" t="inlineStr">
        <is>
          <t>Re-tests the campaign's own conclusions with intent to falsify them</t>
        </is>
      </c>
      <c r="F23" s="50" t="inlineStr">
        <is>
          <t>8 checks; 3 claims corrected</t>
        </is>
      </c>
      <c r="G23" s="49" t="inlineStr">
        <is>
          <t>2026-08-15</t>
        </is>
      </c>
      <c r="H23" s="47" t="inlineStr">
        <is>
          <t>PASS</t>
        </is>
      </c>
      <c r="I23" s="48" t="n"/>
      <c r="J23" s="48" t="n"/>
    </row>
    <row r="24" ht="23.85" customHeight="1" s="36">
      <c r="A24" s="44" t="inlineStr">
        <is>
          <t>S-07</t>
        </is>
      </c>
      <c r="B24" s="45" t="inlineStr">
        <is>
          <t>Phase 1 seeded-anomaly recovery</t>
        </is>
      </c>
      <c r="C24" s="44" t="inlineStr">
        <is>
          <t>validation/phase1_seeded_anomaly.py</t>
        </is>
      </c>
      <c r="D24" s="44" t="inlineStr">
        <is>
          <t>P1-1,P1-2,D-09</t>
        </is>
      </c>
      <c r="E24" s="45" t="inlineStr">
        <is>
          <t>MSM-independent ground truth: 450K frames spliced into 300K background, 5 replicates, pre-registered criteria</t>
        </is>
      </c>
      <c r="F24" s="45" t="inlineStr">
        <is>
          <t>A1 PASS, A2 FAIL, A3 PASS</t>
        </is>
      </c>
      <c r="G24" s="44" t="inlineStr">
        <is>
          <t>2026-08-23</t>
        </is>
      </c>
      <c r="H24" s="56" t="inlineStr">
        <is>
          <t>FAIL</t>
        </is>
      </c>
      <c r="I24" s="48" t="n"/>
      <c r="J24" s="48" t="n"/>
    </row>
    <row r="25" ht="15" customHeight="1" s="36">
      <c r="A25" s="49" t="inlineStr">
        <is>
          <t>R-01</t>
        </is>
      </c>
      <c r="B25" s="50" t="inlineStr">
        <is>
          <t>Existing regression suites</t>
        </is>
      </c>
      <c r="C25" s="49" t="inlineStr">
        <is>
          <t>tests/test_signals.py + test_pipeline_edge_cases.py</t>
        </is>
      </c>
      <c r="D25" s="49" t="inlineStr">
        <is>
          <t>-</t>
        </is>
      </c>
      <c r="E25" s="50" t="inlineStr">
        <is>
          <t>Pre-existing suites must not regress after fixes</t>
        </is>
      </c>
      <c r="F25" s="50" t="inlineStr">
        <is>
          <t>31 passed</t>
        </is>
      </c>
      <c r="G25" s="49" t="inlineStr">
        <is>
          <t>2026-08-15</t>
        </is>
      </c>
      <c r="H25" s="47" t="inlineStr">
        <is>
          <t>PASS</t>
        </is>
      </c>
      <c r="I25" s="48" t="n"/>
      <c r="J25" s="48" t="n"/>
    </row>
    <row r="26" ht="23.85" customHeight="1" s="36">
      <c r="A26" s="44" t="inlineStr">
        <is>
          <t>R-02</t>
        </is>
      </c>
      <c r="B26" s="45" t="inlineStr">
        <is>
          <t>Integration + reproducibility suites</t>
        </is>
      </c>
      <c r="C26" s="44" t="inlineStr">
        <is>
          <t>tests/test_integration.py + test_reproducibility.py</t>
        </is>
      </c>
      <c r="D26" s="44" t="inlineStr">
        <is>
          <t>-</t>
        </is>
      </c>
      <c r="E26" s="45" t="inlineStr">
        <is>
          <t>9 pass; 1 pre-existing failure (imports run_msm_tica, never migrated from twin repo)</t>
        </is>
      </c>
      <c r="F26" s="45" t="inlineStr">
        <is>
          <t>9 pass / 1 known fail</t>
        </is>
      </c>
      <c r="G26" s="44" t="inlineStr">
        <is>
          <t>2026-08-15</t>
        </is>
      </c>
      <c r="H26" s="56" t="inlineStr">
        <is>
          <t>KNOWN FAIL</t>
        </is>
      </c>
      <c r="I26" s="48" t="n"/>
      <c r="J26" s="48" t="n"/>
    </row>
    <row r="28" ht="15" customHeight="1" s="36">
      <c r="A28" s="41" t="inlineStr">
        <is>
          <t>Summary</t>
        </is>
      </c>
      <c r="D28" s="41" t="inlineStr">
        <is>
          <t>Tests passing:</t>
        </is>
      </c>
      <c r="E28" s="41">
        <f>COUNTIF(H4:H26,"PASS")&amp;" of "&amp;COUNTA(H4:H26)</f>
        <v/>
      </c>
    </row>
    <row r="29" ht="15" customHeight="1" s="36">
      <c r="D29" s="39" t="inlineStr">
        <is>
          <t>Defects with a covering test:</t>
        </is>
      </c>
      <c r="E29" s="39">
        <f>COUNTIF('Defect Register'!J4:J14,"PASS")&amp;" of 8 code defects"</f>
        <v/>
      </c>
    </row>
    <row r="30">
      <c r="A30" s="74" t="inlineStr">
        <is>
          <t>T-22</t>
        </is>
      </c>
      <c r="B30" s="74" t="inlineStr">
        <is>
          <t>test_suitability_rejects_diffusive_ensemble</t>
        </is>
      </c>
      <c r="C30" s="74" t="inlineStr">
        <is>
          <t>tests/test_production_scoring.py</t>
        </is>
      </c>
      <c r="D30" s="74" t="inlineStr">
        <is>
          <t>D-12</t>
        </is>
      </c>
      <c r="E30" s="74" t="inlineStr">
        <is>
          <t>A random-walk ensemble (nothing revisited) is verdict=unsuitable with 0 clusters above 5%</t>
        </is>
      </c>
      <c r="F30" s="74" t="inlineStr">
        <is>
          <t>PASS</t>
        </is>
      </c>
      <c r="G30" s="74" t="inlineStr">
        <is>
          <t>2026-08-29</t>
        </is>
      </c>
      <c r="H30" s="74" t="inlineStr">
        <is>
          <t>PASS</t>
        </is>
      </c>
      <c r="I30" s="74" t="inlineStr"/>
      <c r="J30" s="74" t="inlineStr">
        <is>
          <t>2026-08-29</t>
        </is>
      </c>
    </row>
    <row r="31">
      <c r="A31" s="74" t="inlineStr">
        <is>
          <t>T-23</t>
        </is>
      </c>
      <c r="B31" s="74" t="inlineStr">
        <is>
          <t>test_suitability_accepts_two_basin_ensemble</t>
        </is>
      </c>
      <c r="C31" s="74" t="inlineStr">
        <is>
          <t>tests/test_production_scoring.py</t>
        </is>
      </c>
      <c r="D31" s="74" t="inlineStr">
        <is>
          <t>D-12</t>
        </is>
      </c>
      <c r="E31" s="74" t="inlineStr">
        <is>
          <t>A genuine two-state ensemble is verdict=suitable - the guard must not reject everything</t>
        </is>
      </c>
      <c r="F31" s="74" t="inlineStr">
        <is>
          <t>PASS</t>
        </is>
      </c>
      <c r="G31" s="74" t="inlineStr">
        <is>
          <t>2026-08-29</t>
        </is>
      </c>
      <c r="H31" s="74" t="inlineStr">
        <is>
          <t>PASS</t>
        </is>
      </c>
      <c r="I31" s="74" t="inlineStr"/>
      <c r="J31" s="74" t="inlineStr">
        <is>
          <t>2026-08-29</t>
        </is>
      </c>
    </row>
    <row r="32">
      <c r="A32" s="74" t="inlineStr">
        <is>
          <t>T-24</t>
        </is>
      </c>
      <c r="B32" s="74" t="inlineStr">
        <is>
          <t>test_suitability_accepts_many_small_basins</t>
        </is>
      </c>
      <c r="C32" s="74" t="inlineStr">
        <is>
          <t>tests/test_production_scoring.py</t>
        </is>
      </c>
      <c r="D32" s="74" t="inlineStr">
        <is>
          <t>D-13</t>
        </is>
      </c>
      <c r="E32" s="74" t="inlineStr">
        <is>
          <t>Eight modestly-populated basins are not called diffusive (regression for the 10% knife edge)</t>
        </is>
      </c>
      <c r="F32" s="74" t="inlineStr">
        <is>
          <t>PASS</t>
        </is>
      </c>
      <c r="G32" s="74" t="inlineStr">
        <is>
          <t>2026-08-29</t>
        </is>
      </c>
      <c r="H32" s="74" t="inlineStr">
        <is>
          <t>PASS</t>
        </is>
      </c>
      <c r="I32" s="74" t="inlineStr"/>
      <c r="J32" s="74" t="inlineStr">
        <is>
          <t>2026-08-29</t>
        </is>
      </c>
    </row>
    <row r="33">
      <c r="A33" s="74" t="inlineStr">
        <is>
          <t>T-25</t>
        </is>
      </c>
      <c r="B33" s="74" t="inlineStr">
        <is>
          <t>test_phase4_alignment_survives_renumbering</t>
        </is>
      </c>
      <c r="C33" s="74" t="inlineStr">
        <is>
          <t>tests/test_production_scoring.py</t>
        </is>
      </c>
      <c r="D33" s="74" t="inlineStr">
        <is>
          <t>D-14</t>
        </is>
      </c>
      <c r="E33" s="74" t="inlineStr">
        <is>
          <t>A chain numbered 1..N maps onto a crystal numbered 101.. via sequence offset; exact resSeq still takes the direct path</t>
        </is>
      </c>
      <c r="F33" s="74" t="inlineStr">
        <is>
          <t>PASS</t>
        </is>
      </c>
      <c r="G33" s="74" t="inlineStr">
        <is>
          <t>2026-08-29</t>
        </is>
      </c>
      <c r="H33" s="74" t="inlineStr">
        <is>
          <t>PASS</t>
        </is>
      </c>
      <c r="I33" s="74" t="inlineStr"/>
      <c r="J33" s="74" t="inlineStr">
        <is>
          <t>2026-08-29</t>
        </is>
      </c>
    </row>
    <row r="34">
      <c r="A34" s="74" t="inlineStr">
        <is>
          <t>T-26</t>
        </is>
      </c>
      <c r="B34" s="74" t="inlineStr">
        <is>
          <t>test_phase4_label_validity_gate</t>
        </is>
      </c>
      <c r="C34" s="74" t="inlineStr">
        <is>
          <t>tests/test_production_scoring.py</t>
        </is>
      </c>
      <c r="D34" s="74" t="inlineStr">
        <is>
          <t>D-16</t>
        </is>
      </c>
      <c r="E34" s="74" t="inlineStr">
        <is>
          <t>Labels with 3 positives or 90% prevalence are rejected before scoring</t>
        </is>
      </c>
      <c r="F34" s="74" t="inlineStr">
        <is>
          <t>PASS</t>
        </is>
      </c>
      <c r="G34" s="74" t="inlineStr">
        <is>
          <t>2026-08-29</t>
        </is>
      </c>
      <c r="H34" s="74" t="inlineStr">
        <is>
          <t>PASS</t>
        </is>
      </c>
      <c r="I34" s="74" t="inlineStr"/>
      <c r="J34" s="74" t="inlineStr">
        <is>
          <t>2026-08-29</t>
        </is>
      </c>
    </row>
    <row r="35">
      <c r="A35" s="74" t="inlineStr">
        <is>
          <t>T-27</t>
        </is>
      </c>
      <c r="B35" s="74" t="inlineStr">
        <is>
          <t>test_functional_labels_exclude_solvent_and_find_partners</t>
        </is>
      </c>
      <c r="C35" s="74" t="inlineStr">
        <is>
          <t>tests/test_production_scoring.py</t>
        </is>
      </c>
      <c r="D35" s="74" t="inlineStr">
        <is>
          <t>D-16</t>
        </is>
      </c>
      <c r="E35" s="74" t="inlineStr">
        <is>
          <t>Ligand and partner-chain contacts are labelled; water and glycerol are not</t>
        </is>
      </c>
      <c r="F35" s="74" t="inlineStr">
        <is>
          <t>PASS</t>
        </is>
      </c>
      <c r="G35" s="74" t="inlineStr">
        <is>
          <t>2026-08-29</t>
        </is>
      </c>
      <c r="H35" s="74" t="inlineStr">
        <is>
          <t>PASS</t>
        </is>
      </c>
      <c r="I35" s="74" t="inlineStr"/>
      <c r="J35" s="74" t="inlineStr">
        <is>
          <t>2026-08-29</t>
        </is>
      </c>
    </row>
    <row r="36">
      <c r="A36" s="74" t="inlineStr">
        <is>
          <t>T-28</t>
        </is>
      </c>
      <c r="B36" s="74" t="inlineStr">
        <is>
          <t>random_score null baseline</t>
        </is>
      </c>
      <c r="C36" s="74" t="inlineStr">
        <is>
          <t>validation/phase2_temporal_scramble.py</t>
        </is>
      </c>
      <c r="D36" s="74" t="inlineStr">
        <is>
          <t>C6</t>
        </is>
      </c>
      <c r="E36" s="74" t="inlineStr">
        <is>
          <t>A uniformly random scorer sits at chance under the exact Phase 3 protocol (Kim et al. AAAI 2022)</t>
        </is>
      </c>
      <c r="F36" s="74" t="inlineStr">
        <is>
          <t>0.40-0.60</t>
        </is>
      </c>
      <c r="G36" s="74" t="inlineStr">
        <is>
          <t>2026-08-29</t>
        </is>
      </c>
      <c r="H36" s="74" t="inlineStr">
        <is>
          <t>pending re-run</t>
        </is>
      </c>
      <c r="I36" s="74" t="inlineStr"/>
      <c r="J36" s="74" t="inlineStr">
        <is>
          <t>2026-08-29</t>
        </is>
      </c>
    </row>
    <row r="37">
      <c r="A37" s="74" t="inlineStr">
        <is>
          <t>T-29</t>
        </is>
      </c>
      <c r="B37" s="74" t="inlineStr">
        <is>
          <t>abs_diff_oneliner trivial baseline</t>
        </is>
      </c>
      <c r="C37" s="74" t="inlineStr">
        <is>
          <t>validation/phase2_temporal_scramble.py</t>
        </is>
      </c>
      <c r="D37" s="74" t="inlineStr">
        <is>
          <t>-</t>
        </is>
      </c>
      <c r="E37" s="74" t="inlineStr">
        <is>
          <t>The literal abs(diff(x)) one-liner on the feature matrix is reported alongside surprise (Wu &amp; Keogh TKDE 2023)</t>
        </is>
      </c>
      <c r="F37" s="74" t="inlineStr">
        <is>
          <t>surprise &gt; oneliner</t>
        </is>
      </c>
      <c r="G37" s="74" t="inlineStr">
        <is>
          <t>2026-08-29</t>
        </is>
      </c>
      <c r="H37" s="74" t="inlineStr">
        <is>
          <t>pending re-run</t>
        </is>
      </c>
      <c r="I37" s="74" t="inlineStr"/>
      <c r="J37" s="74" t="inlineStr">
        <is>
          <t>2026-08-29</t>
        </is>
      </c>
    </row>
    <row r="38">
      <c r="A38" s="74" t="inlineStr">
        <is>
          <t>T-30</t>
        </is>
      </c>
      <c r="B38" s="74" t="inlineStr">
        <is>
          <t>PR-AUC reported for every channel</t>
        </is>
      </c>
      <c r="C38" s="74" t="inlineStr">
        <is>
          <t>validation/phase3_scale.py</t>
        </is>
      </c>
      <c r="D38" s="74" t="inlineStr">
        <is>
          <t>-</t>
        </is>
      </c>
      <c r="E38" s="74" t="inlineStr">
        <is>
          <t>AUPRC aggregated per protein and printed beside AUROC; junctions are a rare positive class</t>
        </is>
      </c>
      <c r="F38" s="74" t="inlineStr">
        <is>
          <t>reported</t>
        </is>
      </c>
      <c r="G38" s="74" t="inlineStr">
        <is>
          <t>2026-08-29</t>
        </is>
      </c>
      <c r="H38" s="74" t="inlineStr">
        <is>
          <t>PASS</t>
        </is>
      </c>
      <c r="I38" s="74" t="inlineStr"/>
      <c r="J38" s="74" t="inlineStr">
        <is>
          <t>2026-08-29</t>
        </is>
      </c>
    </row>
    <row r="39">
      <c r="A39" s="74" t="inlineStr">
        <is>
          <t>T-31</t>
        </is>
      </c>
      <c r="B39" s="74" t="inlineStr">
        <is>
          <t>seam geometry diagnostic</t>
        </is>
      </c>
      <c r="C39" s="74" t="inlineStr">
        <is>
          <t>validation/phase3_scale.py</t>
        </is>
      </c>
      <c r="D39" s="74" t="inlineStr">
        <is>
          <t>D-18</t>
        </is>
      </c>
      <c r="E39" s="74" t="inlineStr">
        <is>
          <t>Junction CA-RMSD vs ordinary step RMSD, and the percentile a junction occupies; guards the triviality trap</t>
        </is>
      </c>
      <c r="F39" s="74" t="inlineStr">
        <is>
          <t>junction &lt;= 90th pct</t>
        </is>
      </c>
      <c r="G39" s="74" t="inlineStr">
        <is>
          <t>2026-08-29</t>
        </is>
      </c>
      <c r="H39" s="74" t="inlineStr">
        <is>
          <t>pending re-run</t>
        </is>
      </c>
      <c r="I39" s="74" t="inlineStr"/>
      <c r="J39" s="74" t="inlineStr">
        <is>
          <t>2026-08-29</t>
        </is>
      </c>
    </row>
  </sheetData>
  <dataValidations count="1">
    <dataValidation sqref="H4:H26" showDropDown="0" showInputMessage="0" showErrorMessage="0" allowBlank="1" type="list" errorStyle="stop" operator="between">
      <formula1>"PASS,FAIL,KNOWN FAIL,SKIPPED"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2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8" customWidth="1" style="35" min="2" max="2"/>
    <col width="18" customWidth="1" style="35" min="3" max="3"/>
    <col width="26" customWidth="1" style="35" min="4" max="4"/>
    <col width="15" customWidth="1" style="35" min="5" max="6"/>
    <col width="10" customWidth="1" style="35" min="7" max="7"/>
    <col width="15" customWidth="1" style="35" min="8" max="9"/>
    <col width="16" customWidth="1" style="35" min="10" max="10"/>
  </cols>
  <sheetData>
    <row r="1" ht="17.35" customHeight="1" s="36">
      <c r="A1" s="42" t="inlineStr">
        <is>
          <t>Detection accuracy — baseline vs post-fix</t>
        </is>
      </c>
    </row>
    <row r="2" ht="15" customHeight="1" s="36">
      <c r="A2" s="38" t="inlineStr">
        <is>
          <t>AUROC against operational kinetic ground truth. Delta column is a live formula. Re-run validation/baseline_rare_case.py to regenerate.</t>
        </is>
      </c>
    </row>
    <row r="3" ht="30" customHeight="1" s="36">
      <c r="A3" s="43" t="inlineStr">
        <is>
          <t>System</t>
        </is>
      </c>
      <c r="B3" s="43" t="inlineStr">
        <is>
          <t>Frames</t>
        </is>
      </c>
      <c r="C3" s="43" t="inlineStr">
        <is>
          <t>Task</t>
        </is>
      </c>
      <c r="D3" s="43" t="inlineStr">
        <is>
          <t>Signal</t>
        </is>
      </c>
      <c r="E3" s="43" t="inlineStr">
        <is>
          <t>Baseline AUROC</t>
        </is>
      </c>
      <c r="F3" s="43" t="inlineStr">
        <is>
          <t>Post-fix AUROC</t>
        </is>
      </c>
      <c r="G3" s="43" t="inlineStr">
        <is>
          <t>Delta</t>
        </is>
      </c>
      <c r="H3" s="43" t="inlineStr">
        <is>
          <t>Baseline AUPRC</t>
        </is>
      </c>
      <c r="I3" s="43" t="inlineStr">
        <is>
          <t>Post-fix AUPRC</t>
        </is>
      </c>
      <c r="J3" s="43" t="inlineStr">
        <is>
          <t>Verdict</t>
        </is>
      </c>
    </row>
    <row r="4" ht="15" customHeight="1" s="36">
      <c r="A4" s="44" t="inlineStr">
        <is>
          <t>1VII</t>
        </is>
      </c>
      <c r="B4" s="44" t="n">
        <v>100</v>
      </c>
      <c r="C4" s="44" t="inlineStr">
        <is>
          <t>Rare state</t>
        </is>
      </c>
      <c r="D4" s="44" t="inlineStr">
        <is>
          <t>Fused score</t>
        </is>
      </c>
      <c r="E4" s="59" t="n">
        <v>0.83</v>
      </c>
      <c r="F4" s="59" t="n">
        <v>0.947</v>
      </c>
      <c r="G4" s="60">
        <f>F4-E4</f>
        <v/>
      </c>
      <c r="H4" s="59" t="n">
        <v>0.502</v>
      </c>
      <c r="I4" s="59" t="n">
        <v>0.856</v>
      </c>
      <c r="J4" s="52">
        <f>IF(G4&gt;0.05,"Improved",IF(G4&gt;=0,"Unchanged","REGRESSED"))</f>
        <v/>
      </c>
    </row>
    <row r="5" ht="15" customHeight="1" s="36">
      <c r="A5" s="49" t="inlineStr">
        <is>
          <t>1VII</t>
        </is>
      </c>
      <c r="B5" s="49" t="n">
        <v>100</v>
      </c>
      <c r="C5" s="49" t="inlineStr">
        <is>
          <t>Rare state</t>
        </is>
      </c>
      <c r="D5" s="49" t="inlineStr">
        <is>
          <t>Rarity channel</t>
        </is>
      </c>
      <c r="E5" s="61" t="n">
        <v>0.804</v>
      </c>
      <c r="F5" s="61" t="n">
        <v>1</v>
      </c>
      <c r="G5" s="62">
        <f>F5-E5</f>
        <v/>
      </c>
      <c r="H5" s="61" t="n">
        <v>0.47</v>
      </c>
      <c r="I5" s="61" t="n">
        <v>1</v>
      </c>
      <c r="J5" s="57">
        <f>IF(G5&gt;0.05,"Improved",IF(G5&gt;=0,"Unchanged","REGRESSED"))</f>
        <v/>
      </c>
    </row>
    <row r="6" ht="15" customHeight="1" s="36">
      <c r="A6" s="44" t="inlineStr">
        <is>
          <t>1VII</t>
        </is>
      </c>
      <c r="B6" s="44" t="n">
        <v>100</v>
      </c>
      <c r="C6" s="44" t="inlineStr">
        <is>
          <t>Rare transition</t>
        </is>
      </c>
      <c r="D6" s="44" t="inlineStr">
        <is>
          <t>Fused score</t>
        </is>
      </c>
      <c r="E6" s="59" t="n">
        <v>0.699</v>
      </c>
      <c r="F6" s="59" t="n">
        <v>0.8110000000000001</v>
      </c>
      <c r="G6" s="60">
        <f>F6-E6</f>
        <v/>
      </c>
      <c r="H6" s="59" t="n">
        <v>0.342</v>
      </c>
      <c r="I6" s="59" t="n">
        <v>0.6899999999999999</v>
      </c>
      <c r="J6" s="52">
        <f>IF(G6&gt;0.05,"Improved",IF(G6&gt;=0,"Unchanged","REGRESSED"))</f>
        <v/>
      </c>
    </row>
    <row r="7" ht="15" customHeight="1" s="36">
      <c r="A7" s="49" t="inlineStr">
        <is>
          <t>1VII</t>
        </is>
      </c>
      <c r="B7" s="49" t="n">
        <v>100</v>
      </c>
      <c r="C7" s="49" t="inlineStr">
        <is>
          <t>Rare transition</t>
        </is>
      </c>
      <c r="D7" s="49" t="inlineStr">
        <is>
          <t>Surprise channel</t>
        </is>
      </c>
      <c r="E7" s="61" t="n">
        <v>0.445</v>
      </c>
      <c r="F7" s="61" t="n">
        <v>0.976</v>
      </c>
      <c r="G7" s="62">
        <f>F7-E7</f>
        <v/>
      </c>
      <c r="H7" s="61" t="n">
        <v>0.236</v>
      </c>
      <c r="I7" s="61" t="n">
        <v>0.955</v>
      </c>
      <c r="J7" s="57">
        <f>IF(G7&gt;0.05,"Improved",IF(G7&gt;=0,"Unchanged","REGRESSED"))</f>
        <v/>
      </c>
    </row>
    <row r="8" ht="15" customHeight="1" s="36">
      <c r="A8" s="44" t="inlineStr">
        <is>
          <t>8H0R</t>
        </is>
      </c>
      <c r="B8" s="44" t="n">
        <v>100</v>
      </c>
      <c r="C8" s="44" t="inlineStr">
        <is>
          <t>Rare state</t>
        </is>
      </c>
      <c r="D8" s="44" t="inlineStr">
        <is>
          <t>Fused score</t>
        </is>
      </c>
      <c r="E8" s="59" t="n">
        <v>0.864</v>
      </c>
      <c r="F8" s="59" t="n">
        <v>0.958</v>
      </c>
      <c r="G8" s="60">
        <f>F8-E8</f>
        <v/>
      </c>
      <c r="H8" s="59" t="n">
        <v>0.695</v>
      </c>
      <c r="I8" s="59" t="n">
        <v>0.931</v>
      </c>
      <c r="J8" s="52">
        <f>IF(G8&gt;0.05,"Improved",IF(G8&gt;=0,"Unchanged","REGRESSED"))</f>
        <v/>
      </c>
    </row>
    <row r="9" ht="15" customHeight="1" s="36">
      <c r="A9" s="49" t="inlineStr">
        <is>
          <t>8H0R</t>
        </is>
      </c>
      <c r="B9" s="49" t="n">
        <v>100</v>
      </c>
      <c r="C9" s="49" t="inlineStr">
        <is>
          <t>Rare state</t>
        </is>
      </c>
      <c r="D9" s="49" t="inlineStr">
        <is>
          <t>Rarity channel</t>
        </is>
      </c>
      <c r="E9" s="61" t="n">
        <v>0.446</v>
      </c>
      <c r="F9" s="61" t="n">
        <v>1</v>
      </c>
      <c r="G9" s="62">
        <f>F9-E9</f>
        <v/>
      </c>
      <c r="H9" s="61" t="n">
        <v>0.351</v>
      </c>
      <c r="I9" s="61" t="n">
        <v>1</v>
      </c>
      <c r="J9" s="57">
        <f>IF(G9&gt;0.05,"Improved",IF(G9&gt;=0,"Unchanged","REGRESSED"))</f>
        <v/>
      </c>
    </row>
    <row r="10" ht="15" customHeight="1" s="36">
      <c r="A10" s="44" t="inlineStr">
        <is>
          <t>8H0R</t>
        </is>
      </c>
      <c r="B10" s="44" t="n">
        <v>100</v>
      </c>
      <c r="C10" s="44" t="inlineStr">
        <is>
          <t>Rare transition</t>
        </is>
      </c>
      <c r="D10" s="44" t="inlineStr">
        <is>
          <t>Fused score</t>
        </is>
      </c>
      <c r="E10" s="59" t="n">
        <v>0.79</v>
      </c>
      <c r="F10" s="59" t="n">
        <v>0.837</v>
      </c>
      <c r="G10" s="60">
        <f>F10-E10</f>
        <v/>
      </c>
      <c r="H10" s="59" t="n">
        <v>0.554</v>
      </c>
      <c r="I10" s="59" t="n">
        <v>0.756</v>
      </c>
      <c r="J10" s="52">
        <f>IF(G10&gt;0.05,"Improved",IF(G10&gt;=0,"Unchanged","REGRESSED"))</f>
        <v/>
      </c>
    </row>
    <row r="11" ht="15" customHeight="1" s="36">
      <c r="A11" s="49" t="inlineStr">
        <is>
          <t>8H0R</t>
        </is>
      </c>
      <c r="B11" s="49" t="n">
        <v>100</v>
      </c>
      <c r="C11" s="49" t="inlineStr">
        <is>
          <t>Rare transition</t>
        </is>
      </c>
      <c r="D11" s="49" t="inlineStr">
        <is>
          <t>Surprise channel</t>
        </is>
      </c>
      <c r="E11" s="61" t="n">
        <v>0.589</v>
      </c>
      <c r="F11" s="61" t="n">
        <v>0.953</v>
      </c>
      <c r="G11" s="62">
        <f>F11-E11</f>
        <v/>
      </c>
      <c r="H11" s="61" t="n">
        <v>0.248</v>
      </c>
      <c r="I11" s="61" t="n">
        <v>0.89</v>
      </c>
      <c r="J11" s="57">
        <f>IF(G11&gt;0.05,"Improved",IF(G11&gt;=0,"Unchanged","REGRESSED"))</f>
        <v/>
      </c>
    </row>
    <row r="12" ht="15" customHeight="1" s="36">
      <c r="A12" s="44" t="inlineStr">
        <is>
          <t>1CRN</t>
        </is>
      </c>
      <c r="B12" s="44" t="n">
        <v>1001</v>
      </c>
      <c r="C12" s="44" t="inlineStr">
        <is>
          <t>Rare state</t>
        </is>
      </c>
      <c r="D12" s="44" t="inlineStr">
        <is>
          <t>Fused score</t>
        </is>
      </c>
      <c r="E12" s="59" t="n">
        <v>0.837</v>
      </c>
      <c r="F12" s="59" t="n">
        <v>0.955</v>
      </c>
      <c r="G12" s="60">
        <f>F12-E12</f>
        <v/>
      </c>
      <c r="H12" s="59" t="n">
        <v>0.484</v>
      </c>
      <c r="I12" s="59" t="n">
        <v>0.895</v>
      </c>
      <c r="J12" s="52">
        <f>IF(G12&gt;0.05,"Improved",IF(G12&gt;=0,"Unchanged","REGRESSED"))</f>
        <v/>
      </c>
    </row>
    <row r="13" ht="15" customHeight="1" s="36">
      <c r="A13" s="49" t="inlineStr">
        <is>
          <t>1CRN</t>
        </is>
      </c>
      <c r="B13" s="49" t="n">
        <v>1001</v>
      </c>
      <c r="C13" s="49" t="inlineStr">
        <is>
          <t>Rare state</t>
        </is>
      </c>
      <c r="D13" s="49" t="inlineStr">
        <is>
          <t>Rarity channel</t>
        </is>
      </c>
      <c r="E13" s="61" t="n">
        <v>0.538</v>
      </c>
      <c r="F13" s="61" t="n">
        <v>1</v>
      </c>
      <c r="G13" s="62">
        <f>F13-E13</f>
        <v/>
      </c>
      <c r="H13" s="61" t="n">
        <v>0.232</v>
      </c>
      <c r="I13" s="61" t="n">
        <v>1</v>
      </c>
      <c r="J13" s="57">
        <f>IF(G13&gt;0.05,"Improved",IF(G13&gt;=0,"Unchanged","REGRESSED"))</f>
        <v/>
      </c>
    </row>
    <row r="14" ht="15" customHeight="1" s="36">
      <c r="A14" s="44" t="inlineStr">
        <is>
          <t>1CRN</t>
        </is>
      </c>
      <c r="B14" s="44" t="n">
        <v>1001</v>
      </c>
      <c r="C14" s="44" t="inlineStr">
        <is>
          <t>Rare transition</t>
        </is>
      </c>
      <c r="D14" s="44" t="inlineStr">
        <is>
          <t>Fused score</t>
        </is>
      </c>
      <c r="E14" s="59" t="n">
        <v>0.654</v>
      </c>
      <c r="F14" s="59" t="n">
        <v>0.999</v>
      </c>
      <c r="G14" s="60">
        <f>F14-E14</f>
        <v/>
      </c>
      <c r="H14" s="59" t="n">
        <v>0.211</v>
      </c>
      <c r="I14" s="59" t="n">
        <v>0.99</v>
      </c>
      <c r="J14" s="52">
        <f>IF(G14&gt;0.05,"Improved",IF(G14&gt;=0,"Unchanged","REGRESSED"))</f>
        <v/>
      </c>
    </row>
    <row r="15" ht="15" customHeight="1" s="36">
      <c r="A15" s="49" t="inlineStr">
        <is>
          <t>1CRN</t>
        </is>
      </c>
      <c r="B15" s="49" t="n">
        <v>1001</v>
      </c>
      <c r="C15" s="49" t="inlineStr">
        <is>
          <t>Rare transition</t>
        </is>
      </c>
      <c r="D15" s="49" t="inlineStr">
        <is>
          <t>Surprise channel</t>
        </is>
      </c>
      <c r="E15" s="61" t="n">
        <v>0.554</v>
      </c>
      <c r="F15" s="61" t="n">
        <v>1</v>
      </c>
      <c r="G15" s="62">
        <f>F15-E15</f>
        <v/>
      </c>
      <c r="H15" s="61" t="n">
        <v>0.08500000000000001</v>
      </c>
      <c r="I15" s="61" t="n">
        <v>1</v>
      </c>
      <c r="J15" s="57">
        <f>IF(G15&gt;0.05,"Improved",IF(G15&gt;=0,"Unchanged","REGRESSED"))</f>
        <v/>
      </c>
    </row>
    <row r="17" ht="15" customHeight="1" s="36">
      <c r="D17" s="41" t="inlineStr">
        <is>
          <t>Mean improvement:</t>
        </is>
      </c>
      <c r="G17" s="63">
        <f>AVERAGE(G4:G15)</f>
        <v/>
      </c>
    </row>
    <row r="18" ht="15" customHeight="1" s="36">
      <c r="D18" s="41" t="inlineStr">
        <is>
          <t>Any regression?</t>
        </is>
      </c>
      <c r="G18" s="41">
        <f>IF(COUNTIF(J4:J15,"REGRESSED")=0,"NO - all clear","YES - INVESTIGATE")</f>
        <v/>
      </c>
    </row>
    <row r="20" ht="15" customHeight="1" s="36">
      <c r="A20" s="38" t="inlineStr">
        <is>
          <t>Rarity-channel rows reaching 1.000 against rare-state labels are circular by construction (both derive from pi) and are a consistency check, not an independent accuracy claim. Headline figures are the fused rows.</t>
        </is>
      </c>
    </row>
  </sheetData>
  <conditionalFormatting sqref="J4:J15">
    <cfRule type="cellIs" rank="0" priority="2" equalAverage="0" operator="equal" aboveAverage="0" dxfId="0" text="" percent="0" bottom="0">
      <formula>"REGRESSED"</formula>
    </cfRule>
    <cfRule type="cellIs" rank="0" priority="3" equalAverage="0" operator="equal" aboveAverage="0" dxfId="1" text="" percent="0" bottom="0">
      <formula>"Improved"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1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8" customWidth="1" style="35" min="2" max="2"/>
    <col width="20" customWidth="1" style="35" min="3" max="3"/>
    <col width="16" customWidth="1" style="35" min="4" max="4"/>
    <col width="20" customWidth="1" style="35" min="5" max="5"/>
    <col width="24" customWidth="1" style="35" min="6" max="6"/>
    <col width="15" customWidth="1" style="35" min="7" max="7"/>
    <col width="16" customWidth="1" style="35" min="8" max="8"/>
    <col width="30" customWidth="1" style="35" min="9" max="9"/>
  </cols>
  <sheetData>
    <row r="1" ht="17.35" customHeight="1" s="36">
      <c r="A1" s="42" t="inlineStr">
        <is>
          <t>Layer 2 — MSM statistical validity, executed 2026-08-15</t>
        </is>
      </c>
    </row>
    <row r="2" ht="15" customHeight="1" s="36">
      <c r="A2" s="38" t="inlineStr">
        <is>
          <t>Thresholds are the acceptance criteria for publication. Re-run validation/layer2_msm_validity.py after regenerating longer trajectories.</t>
        </is>
      </c>
    </row>
    <row r="3" ht="30" customHeight="1" s="36">
      <c r="A3" s="43" t="inlineStr">
        <is>
          <t>System</t>
        </is>
      </c>
      <c r="B3" s="43" t="inlineStr">
        <is>
          <t>Frames</t>
        </is>
      </c>
      <c r="C3" s="43" t="inlineStr">
        <is>
          <t>CK: frac within 95% CI</t>
        </is>
      </c>
      <c r="D3" s="43" t="inlineStr">
        <is>
          <t>CK: max deviation</t>
        </is>
      </c>
      <c r="E3" s="43" t="inlineStr">
        <is>
          <t>ITS: rel change last step</t>
        </is>
      </c>
      <c r="F3" s="43" t="inlineStr">
        <is>
          <t>Bootstrap: median CI width / pi</t>
        </is>
      </c>
      <c r="G3" s="43" t="inlineStr">
        <is>
          <t>VAMP-2 best score</t>
        </is>
      </c>
      <c r="H3" s="43" t="inlineStr">
        <is>
          <t>VAMP-2 saturated?</t>
        </is>
      </c>
      <c r="I3" s="43" t="inlineStr">
        <is>
          <t>Overall L2 verdict</t>
        </is>
      </c>
    </row>
    <row r="4" ht="15" customHeight="1" s="36">
      <c r="A4" s="44" t="inlineStr">
        <is>
          <t>1VII</t>
        </is>
      </c>
      <c r="B4" s="44" t="n">
        <v>100</v>
      </c>
      <c r="C4" s="59" t="n">
        <v>0.75</v>
      </c>
      <c r="D4" s="59" t="n">
        <v>0.222</v>
      </c>
      <c r="E4" s="59" t="n">
        <v>0.501</v>
      </c>
      <c r="F4" s="59" t="n">
        <v>1.554</v>
      </c>
      <c r="G4" s="59" t="n">
        <v>5</v>
      </c>
      <c r="H4" s="44" t="inlineStr">
        <is>
          <t>YES</t>
        </is>
      </c>
      <c r="I4" s="52">
        <f>IF(AND(F4&lt;0.5,E4&lt;0.1),"Publication-grade","Insufficient sampling")</f>
        <v/>
      </c>
    </row>
    <row r="5" ht="15" customHeight="1" s="36">
      <c r="A5" s="49" t="inlineStr">
        <is>
          <t>8H0R</t>
        </is>
      </c>
      <c r="B5" s="49" t="n">
        <v>100</v>
      </c>
      <c r="C5" s="61" t="n">
        <v>0.9379999999999999</v>
      </c>
      <c r="D5" s="61" t="n">
        <v>0.24</v>
      </c>
      <c r="E5" s="61" t="n">
        <v>0.029</v>
      </c>
      <c r="F5" s="61" t="n">
        <v>1.105</v>
      </c>
      <c r="G5" s="61" t="n">
        <v>5</v>
      </c>
      <c r="H5" s="49" t="inlineStr">
        <is>
          <t>YES</t>
        </is>
      </c>
      <c r="I5" s="57">
        <f>IF(AND(F5&lt;0.5,E5&lt;0.1),"Publication-grade","Insufficient sampling")</f>
        <v/>
      </c>
    </row>
    <row r="6" ht="15" customHeight="1" s="36">
      <c r="A6" s="44" t="inlineStr">
        <is>
          <t>1UBQ</t>
        </is>
      </c>
      <c r="B6" s="44" t="n">
        <v>100</v>
      </c>
      <c r="C6" s="59" t="n">
        <v>0.75</v>
      </c>
      <c r="D6" s="59" t="n">
        <v>0.248</v>
      </c>
      <c r="E6" s="59" t="n">
        <v>0.089</v>
      </c>
      <c r="F6" s="59" t="n">
        <v>1.534</v>
      </c>
      <c r="G6" s="59" t="n">
        <v>5</v>
      </c>
      <c r="H6" s="44" t="inlineStr">
        <is>
          <t>YES</t>
        </is>
      </c>
      <c r="I6" s="52">
        <f>IF(AND(F6&lt;0.5,E6&lt;0.1),"Publication-grade","Insufficient sampling")</f>
        <v/>
      </c>
    </row>
    <row r="7" ht="15" customHeight="1" s="36">
      <c r="A7" s="49" t="inlineStr">
        <is>
          <t>1CRN</t>
        </is>
      </c>
      <c r="B7" s="49" t="n">
        <v>1001</v>
      </c>
      <c r="C7" s="61" t="n">
        <v>0.625</v>
      </c>
      <c r="D7" s="61" t="n">
        <v>0.316</v>
      </c>
      <c r="E7" s="61" t="n">
        <v>0.061</v>
      </c>
      <c r="F7" s="61" t="n">
        <v>0.5590000000000001</v>
      </c>
      <c r="G7" s="61" t="n"/>
      <c r="H7" s="49" t="inlineStr">
        <is>
          <t>n/a</t>
        </is>
      </c>
      <c r="I7" s="57">
        <f>IF(AND(F7&lt;0.5,E7&lt;0.1),"Publication-grade","Insufficient sampling")</f>
        <v/>
      </c>
    </row>
    <row r="9" ht="15" customHeight="1" s="36">
      <c r="A9" s="38" t="n"/>
      <c r="B9" s="38" t="n"/>
      <c r="C9" s="38" t="n"/>
      <c r="D9" s="38" t="n"/>
      <c r="E9" s="38" t="n"/>
      <c r="F9" s="38" t="n"/>
      <c r="G9" s="38" t="n"/>
      <c r="H9" s="38" t="n"/>
      <c r="I9" s="38" t="n"/>
    </row>
    <row r="10" ht="15" customHeight="1" s="36">
      <c r="A10" s="41" t="inlineStr">
        <is>
          <t>ACCEPTANCE CRITERIA</t>
        </is>
      </c>
      <c r="B10" s="41" t="n"/>
      <c r="C10" s="41" t="n"/>
      <c r="D10" s="41" t="n"/>
      <c r="E10" s="41" t="n"/>
      <c r="F10" s="41" t="n"/>
      <c r="G10" s="41" t="n"/>
      <c r="H10" s="41" t="n"/>
      <c r="I10" s="41" t="n"/>
    </row>
    <row r="11" ht="15" customHeight="1" s="36">
      <c r="A11" s="38" t="inlineStr">
        <is>
          <t>Chapman-Kolmogorov</t>
        </is>
      </c>
      <c r="B11" s="38" t="n"/>
      <c r="C11" s="38" t="inlineStr">
        <is>
          <t>Fraction within 95% CI &gt;= 0.90 AND intervals narrow enough to be informative</t>
        </is>
      </c>
      <c r="D11" s="38" t="n"/>
      <c r="E11" s="38" t="n"/>
      <c r="F11" s="38" t="n"/>
      <c r="G11" s="38" t="n"/>
      <c r="H11" s="38" t="n"/>
      <c r="I11" s="38" t="n"/>
    </row>
    <row r="12" ht="15" customHeight="1" s="36">
      <c r="A12" s="38" t="inlineStr">
        <is>
          <t>Implied timescales</t>
        </is>
      </c>
      <c r="B12" s="38" t="n"/>
      <c r="C12" s="38" t="inlineStr">
        <is>
          <t>Relative change over final lag step &lt; 0.10 (plateau reached)</t>
        </is>
      </c>
      <c r="D12" s="38" t="n"/>
      <c r="E12" s="38" t="n"/>
      <c r="F12" s="38" t="n"/>
      <c r="G12" s="38" t="n"/>
      <c r="H12" s="38" t="n"/>
      <c r="I12" s="38" t="n"/>
    </row>
    <row r="13" ht="15" customHeight="1" s="36">
      <c r="A13" s="38" t="inlineStr">
        <is>
          <t>Bootstrap pi</t>
        </is>
      </c>
      <c r="B13" s="38" t="n"/>
      <c r="C13" s="38" t="inlineStr">
        <is>
          <t>Median CI width / pi &lt; 0.50 (value resolved to better than +/-50%)</t>
        </is>
      </c>
      <c r="D13" s="38" t="n"/>
      <c r="E13" s="38" t="n"/>
      <c r="F13" s="38" t="n"/>
      <c r="G13" s="38" t="n"/>
      <c r="H13" s="38" t="n"/>
      <c r="I13" s="38" t="n"/>
    </row>
    <row r="14" ht="15" customHeight="1" s="36">
      <c r="A14" s="38" t="inlineStr">
        <is>
          <t>VAMP-2</t>
        </is>
      </c>
      <c r="B14" s="38" t="n"/>
      <c r="C14" s="38" t="inlineStr">
        <is>
          <t>Optimum strictly below the dimension bound (no saturation = no overfitting)</t>
        </is>
      </c>
      <c r="D14" s="38" t="n"/>
      <c r="E14" s="38" t="n"/>
      <c r="F14" s="38" t="n"/>
      <c r="G14" s="38" t="n"/>
      <c r="H14" s="38" t="n"/>
      <c r="I14" s="38" t="n"/>
    </row>
  </sheetData>
  <conditionalFormatting sqref="I4:I7">
    <cfRule type="cellIs" rank="0" priority="2" equalAverage="0" operator="equal" aboveAverage="0" dxfId="2" text="" percent="0" bottom="0">
      <formula>"Insufficient sampling"</formula>
    </cfRule>
    <cfRule type="cellIs" rank="0" priority="3" equalAverage="0" operator="equal" aboveAverage="0" dxfId="1" text="" percent="0" bottom="0">
      <formula>"Publication-grade"</formula>
    </cfRule>
  </conditionalFormatting>
  <conditionalFormatting sqref="F4:F7">
    <cfRule type="cellIs" rank="0" priority="4" equalAverage="0" operator="greaterThan" aboveAverage="0" dxfId="2" text="" percent="0" bottom="0">
      <formul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2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5" min="1" max="1"/>
    <col width="10" customWidth="1" style="35" min="2" max="2"/>
    <col width="30" customWidth="1" style="35" min="3" max="3"/>
    <col width="26" customWidth="1" style="35" min="4" max="4"/>
    <col width="12" customWidth="1" style="35" min="5" max="5"/>
    <col width="14" customWidth="1" style="35" min="6" max="6"/>
    <col width="52" customWidth="1" style="35" min="7" max="7"/>
  </cols>
  <sheetData>
    <row r="1" ht="17.35" customHeight="1" s="36">
      <c r="A1" s="42" t="inlineStr">
        <is>
          <t>Layer 3 — external validation against experimental data and baselines</t>
        </is>
      </c>
    </row>
    <row r="2" ht="15" customHeight="1" s="36">
      <c r="A2" s="38" t="inlineStr">
        <is>
          <t>B-factor correlations use raw RCSB entries. Baseline comparison runs on identical tICA coordinates.</t>
        </is>
      </c>
    </row>
    <row r="3" ht="30" customHeight="1" s="36">
      <c r="A3" s="43" t="inlineStr">
        <is>
          <t>Block</t>
        </is>
      </c>
      <c r="B3" s="43" t="inlineStr">
        <is>
          <t>System</t>
        </is>
      </c>
      <c r="C3" s="43" t="inlineStr">
        <is>
          <t>Method / detector</t>
        </is>
      </c>
      <c r="D3" s="43" t="inlineStr">
        <is>
          <t>Metric</t>
        </is>
      </c>
      <c r="E3" s="43" t="inlineStr">
        <is>
          <t>Value</t>
        </is>
      </c>
      <c r="F3" s="43" t="inlineStr">
        <is>
          <t>Comparator</t>
        </is>
      </c>
      <c r="G3" s="43" t="inlineStr">
        <is>
          <t>Interpretation</t>
        </is>
      </c>
    </row>
    <row r="4" ht="23.85" customHeight="1" s="36">
      <c r="A4" s="44" t="inlineStr">
        <is>
          <t>B-factor</t>
        </is>
      </c>
      <c r="B4" s="44" t="inlineStr">
        <is>
          <t>8H0R</t>
        </is>
      </c>
      <c r="C4" s="45" t="inlineStr">
        <is>
          <t>X-ray 1.20 A (178/182 residues)</t>
        </is>
      </c>
      <c r="D4" s="44" t="inlineStr">
        <is>
          <t>Spearman rho vs dynamic score</t>
        </is>
      </c>
      <c r="E4" s="59" t="n">
        <v>0.595</v>
      </c>
      <c r="F4" s="44" t="inlineStr">
        <is>
          <t>n/a</t>
        </is>
      </c>
      <c r="G4" s="45" t="inlineStr">
        <is>
          <t>External non-circular evidence that residue scores track crystallographic flexibility</t>
        </is>
      </c>
    </row>
    <row r="5" ht="23.85" customHeight="1" s="36">
      <c r="A5" s="49" t="inlineStr">
        <is>
          <t>B-factor</t>
        </is>
      </c>
      <c r="B5" s="49" t="inlineStr">
        <is>
          <t>8H0R</t>
        </is>
      </c>
      <c r="C5" s="50" t="inlineStr">
        <is>
          <t>X-ray 1.20 A</t>
        </is>
      </c>
      <c r="D5" s="49" t="inlineStr">
        <is>
          <t>Spearman rho vs trajectory RMSF</t>
        </is>
      </c>
      <c r="E5" s="61" t="n">
        <v>0.642</v>
      </c>
      <c r="F5" s="49" t="inlineStr">
        <is>
          <t>n/a</t>
        </is>
      </c>
      <c r="G5" s="50" t="inlineStr">
        <is>
          <t>Dynamic score sits below RMSF as designed - it also carries kinetic-anomaly participation</t>
        </is>
      </c>
    </row>
    <row r="6" ht="15" customHeight="1" s="36">
      <c r="A6" s="44" t="inlineStr">
        <is>
          <t>B-factor</t>
        </is>
      </c>
      <c r="B6" s="44" t="inlineStr">
        <is>
          <t>1UBQ</t>
        </is>
      </c>
      <c r="C6" s="45" t="inlineStr">
        <is>
          <t>X-ray 1.80 A (76/76 residues)</t>
        </is>
      </c>
      <c r="D6" s="44" t="inlineStr">
        <is>
          <t>Spearman rho vs dynamic score</t>
        </is>
      </c>
      <c r="E6" s="59" t="n">
        <v>0.573</v>
      </c>
      <c r="F6" s="44" t="inlineStr">
        <is>
          <t>n/a</t>
        </is>
      </c>
      <c r="G6" s="45" t="inlineStr">
        <is>
          <t>Independent second X-ray benchmark, consistent magnitude</t>
        </is>
      </c>
    </row>
    <row r="7" ht="15" customHeight="1" s="36">
      <c r="A7" s="49" t="inlineStr">
        <is>
          <t>B-factor</t>
        </is>
      </c>
      <c r="B7" s="49" t="inlineStr">
        <is>
          <t>1UBQ</t>
        </is>
      </c>
      <c r="C7" s="50" t="inlineStr">
        <is>
          <t>X-ray 1.80 A</t>
        </is>
      </c>
      <c r="D7" s="49" t="inlineStr">
        <is>
          <t>Spearman rho vs trajectory RMSF</t>
        </is>
      </c>
      <c r="E7" s="61" t="n">
        <v>0.656</v>
      </c>
      <c r="F7" s="49" t="inlineStr">
        <is>
          <t>n/a</t>
        </is>
      </c>
      <c r="G7" s="50" t="n"/>
    </row>
    <row r="8" ht="15" customHeight="1" s="36">
      <c r="A8" s="44" t="inlineStr">
        <is>
          <t>B-factor</t>
        </is>
      </c>
      <c r="B8" s="44" t="inlineStr">
        <is>
          <t>1VII</t>
        </is>
      </c>
      <c r="C8" s="45" t="inlineStr">
        <is>
          <t>NMR</t>
        </is>
      </c>
      <c r="D8" s="44" t="inlineStr">
        <is>
          <t>n/a</t>
        </is>
      </c>
      <c r="E8" s="59" t="n"/>
      <c r="F8" s="44" t="inlineStr">
        <is>
          <t>n/a</t>
        </is>
      </c>
      <c r="G8" s="45" t="inlineStr">
        <is>
          <t>Excluded by design - NMR carries no meaningful B-factors</t>
        </is>
      </c>
    </row>
    <row r="9" ht="15" customHeight="1" s="36">
      <c r="A9" s="64" t="inlineStr">
        <is>
          <t>Baseline</t>
        </is>
      </c>
      <c r="B9" s="64" t="inlineStr">
        <is>
          <t>1VII</t>
        </is>
      </c>
      <c r="C9" s="65" t="inlineStr">
        <is>
          <t>Pipeline fused (ours)</t>
        </is>
      </c>
      <c r="D9" s="64" t="inlineStr">
        <is>
          <t>Rare-state AUROC</t>
        </is>
      </c>
      <c r="E9" s="66" t="n">
        <v>0.947</v>
      </c>
      <c r="F9" s="64" t="inlineStr">
        <is>
          <t>best</t>
        </is>
      </c>
      <c r="G9" s="65" t="inlineStr">
        <is>
          <t>Wins</t>
        </is>
      </c>
    </row>
    <row r="10" ht="15" customHeight="1" s="36">
      <c r="A10" s="44" t="inlineStr">
        <is>
          <t>Baseline</t>
        </is>
      </c>
      <c r="B10" s="44" t="inlineStr">
        <is>
          <t>1VII</t>
        </is>
      </c>
      <c r="C10" s="45" t="inlineStr">
        <is>
          <t>Isolation Forest</t>
        </is>
      </c>
      <c r="D10" s="44" t="inlineStr">
        <is>
          <t>Rare-state AUROC</t>
        </is>
      </c>
      <c r="E10" s="59" t="n">
        <v>0.752</v>
      </c>
      <c r="F10" s="44" t="n"/>
      <c r="G10" s="45" t="n"/>
    </row>
    <row r="11" ht="15" customHeight="1" s="36">
      <c r="A11" s="49" t="inlineStr">
        <is>
          <t>Baseline</t>
        </is>
      </c>
      <c r="B11" s="49" t="inlineStr">
        <is>
          <t>1VII</t>
        </is>
      </c>
      <c r="C11" s="50" t="inlineStr">
        <is>
          <t>Local Outlier Factor</t>
        </is>
      </c>
      <c r="D11" s="49" t="inlineStr">
        <is>
          <t>Rare-state AUROC</t>
        </is>
      </c>
      <c r="E11" s="61" t="n">
        <v>0.835</v>
      </c>
      <c r="F11" s="49" t="n"/>
      <c r="G11" s="50" t="n"/>
    </row>
    <row r="12" ht="15" customHeight="1" s="36">
      <c r="A12" s="44" t="inlineStr">
        <is>
          <t>Baseline</t>
        </is>
      </c>
      <c r="B12" s="44" t="inlineStr">
        <is>
          <t>1VII</t>
        </is>
      </c>
      <c r="C12" s="45" t="inlineStr">
        <is>
          <t>kNN distance only (ablation)</t>
        </is>
      </c>
      <c r="D12" s="44" t="inlineStr">
        <is>
          <t>Rare-state AUROC</t>
        </is>
      </c>
      <c r="E12" s="59" t="n">
        <v>0.867</v>
      </c>
      <c r="F12" s="44" t="n"/>
      <c r="G12" s="45" t="inlineStr">
        <is>
          <t>Fused beats its own geometric component</t>
        </is>
      </c>
    </row>
    <row r="13" ht="15" customHeight="1" s="36">
      <c r="A13" s="64" t="inlineStr">
        <is>
          <t>Baseline</t>
        </is>
      </c>
      <c r="B13" s="64" t="inlineStr">
        <is>
          <t>8H0R</t>
        </is>
      </c>
      <c r="C13" s="65" t="inlineStr">
        <is>
          <t>Pipeline fused (ours)</t>
        </is>
      </c>
      <c r="D13" s="64" t="inlineStr">
        <is>
          <t>Rare-state AUROC</t>
        </is>
      </c>
      <c r="E13" s="66" t="n">
        <v>0.958</v>
      </c>
      <c r="F13" s="64" t="inlineStr">
        <is>
          <t>best</t>
        </is>
      </c>
      <c r="G13" s="65" t="inlineStr">
        <is>
          <t>Wins</t>
        </is>
      </c>
    </row>
    <row r="14" ht="15" customHeight="1" s="36">
      <c r="A14" s="44" t="inlineStr">
        <is>
          <t>Baseline</t>
        </is>
      </c>
      <c r="B14" s="44" t="inlineStr">
        <is>
          <t>8H0R</t>
        </is>
      </c>
      <c r="C14" s="45" t="inlineStr">
        <is>
          <t>Isolation Forest</t>
        </is>
      </c>
      <c r="D14" s="44" t="inlineStr">
        <is>
          <t>Rare-state AUROC</t>
        </is>
      </c>
      <c r="E14" s="59" t="n">
        <v>0.879</v>
      </c>
      <c r="F14" s="44" t="n"/>
      <c r="G14" s="45" t="n"/>
    </row>
    <row r="15" ht="15" customHeight="1" s="36">
      <c r="A15" s="49" t="inlineStr">
        <is>
          <t>Baseline</t>
        </is>
      </c>
      <c r="B15" s="49" t="inlineStr">
        <is>
          <t>8H0R</t>
        </is>
      </c>
      <c r="C15" s="50" t="inlineStr">
        <is>
          <t>Local Outlier Factor</t>
        </is>
      </c>
      <c r="D15" s="49" t="inlineStr">
        <is>
          <t>Rare-state AUROC</t>
        </is>
      </c>
      <c r="E15" s="61" t="n">
        <v>0.9340000000000001</v>
      </c>
      <c r="F15" s="49" t="n"/>
      <c r="G15" s="50" t="n"/>
    </row>
    <row r="16" ht="15" customHeight="1" s="36">
      <c r="A16" s="64" t="inlineStr">
        <is>
          <t>Baseline</t>
        </is>
      </c>
      <c r="B16" s="64" t="inlineStr">
        <is>
          <t>1UBQ</t>
        </is>
      </c>
      <c r="C16" s="65" t="inlineStr">
        <is>
          <t>Pipeline fused (ours)</t>
        </is>
      </c>
      <c r="D16" s="64" t="inlineStr">
        <is>
          <t>Rare-state AUROC</t>
        </is>
      </c>
      <c r="E16" s="66" t="n">
        <v>0.904</v>
      </c>
      <c r="F16" s="64" t="inlineStr">
        <is>
          <t>best</t>
        </is>
      </c>
      <c r="G16" s="65" t="inlineStr">
        <is>
          <t>Wins</t>
        </is>
      </c>
    </row>
    <row r="17" ht="15" customHeight="1" s="36">
      <c r="A17" s="49" t="inlineStr">
        <is>
          <t>Baseline</t>
        </is>
      </c>
      <c r="B17" s="49" t="inlineStr">
        <is>
          <t>1UBQ</t>
        </is>
      </c>
      <c r="C17" s="50" t="inlineStr">
        <is>
          <t>Isolation Forest</t>
        </is>
      </c>
      <c r="D17" s="49" t="inlineStr">
        <is>
          <t>Rare-state AUROC</t>
        </is>
      </c>
      <c r="E17" s="61" t="n">
        <v>0.696</v>
      </c>
      <c r="F17" s="49" t="n"/>
      <c r="G17" s="50" t="n"/>
    </row>
    <row r="18" ht="15" customHeight="1" s="36">
      <c r="A18" s="44" t="inlineStr">
        <is>
          <t>Baseline</t>
        </is>
      </c>
      <c r="B18" s="44" t="inlineStr">
        <is>
          <t>1UBQ</t>
        </is>
      </c>
      <c r="C18" s="45" t="inlineStr">
        <is>
          <t>Local Outlier Factor</t>
        </is>
      </c>
      <c r="D18" s="44" t="inlineStr">
        <is>
          <t>Rare-state AUROC</t>
        </is>
      </c>
      <c r="E18" s="59" t="n">
        <v>0.694</v>
      </c>
      <c r="F18" s="44" t="n"/>
      <c r="G18" s="45" t="n"/>
    </row>
    <row r="19" ht="15" customHeight="1" s="36">
      <c r="A19" s="64" t="inlineStr">
        <is>
          <t>Baseline</t>
        </is>
      </c>
      <c r="B19" s="64" t="inlineStr">
        <is>
          <t>1CRN</t>
        </is>
      </c>
      <c r="C19" s="65" t="inlineStr">
        <is>
          <t>Pipeline fused (ours)</t>
        </is>
      </c>
      <c r="D19" s="64" t="inlineStr">
        <is>
          <t>Rare-state AUROC</t>
        </is>
      </c>
      <c r="E19" s="66" t="n">
        <v>0.955</v>
      </c>
      <c r="F19" s="64" t="inlineStr">
        <is>
          <t>best</t>
        </is>
      </c>
      <c r="G19" s="65" t="inlineStr">
        <is>
          <t>Wins</t>
        </is>
      </c>
    </row>
    <row r="20" ht="15" customHeight="1" s="36">
      <c r="A20" s="44" t="inlineStr">
        <is>
          <t>Baseline</t>
        </is>
      </c>
      <c r="B20" s="44" t="inlineStr">
        <is>
          <t>1CRN</t>
        </is>
      </c>
      <c r="C20" s="45" t="inlineStr">
        <is>
          <t>Isolation Forest</t>
        </is>
      </c>
      <c r="D20" s="44" t="inlineStr">
        <is>
          <t>Rare-state AUROC</t>
        </is>
      </c>
      <c r="E20" s="59" t="n">
        <v>0.845</v>
      </c>
      <c r="F20" s="44" t="n"/>
      <c r="G20" s="45" t="n"/>
    </row>
    <row r="21" ht="15" customHeight="1" s="36">
      <c r="A21" s="49" t="inlineStr">
        <is>
          <t>Baseline</t>
        </is>
      </c>
      <c r="B21" s="49" t="inlineStr">
        <is>
          <t>1CRN</t>
        </is>
      </c>
      <c r="C21" s="50" t="inlineStr">
        <is>
          <t>Local Outlier Factor</t>
        </is>
      </c>
      <c r="D21" s="49" t="inlineStr">
        <is>
          <t>Rare-state AUROC</t>
        </is>
      </c>
      <c r="E21" s="61" t="n">
        <v>0.49</v>
      </c>
      <c r="F21" s="49" t="n"/>
      <c r="G21" s="50" t="inlineStr">
        <is>
          <t>At chance</t>
        </is>
      </c>
    </row>
    <row r="22" ht="15" customHeight="1" s="36">
      <c r="A22" s="44" t="inlineStr">
        <is>
          <t>Key result</t>
        </is>
      </c>
      <c r="B22" s="44" t="inlineStr">
        <is>
          <t>1UBQ</t>
        </is>
      </c>
      <c r="C22" s="45" t="inlineStr">
        <is>
          <t>Isolation Forest</t>
        </is>
      </c>
      <c r="D22" s="44" t="inlineStr">
        <is>
          <t>Rare-transition AUROC</t>
        </is>
      </c>
      <c r="E22" s="67" t="n">
        <v>0.432</v>
      </c>
      <c r="F22" s="44" t="inlineStr">
        <is>
          <t>chance</t>
        </is>
      </c>
      <c r="G22" s="45" t="inlineStr">
        <is>
          <t>Geometric detectors CANNOT see kinetic events</t>
        </is>
      </c>
    </row>
    <row r="23" ht="15" customHeight="1" s="36">
      <c r="A23" s="49" t="inlineStr">
        <is>
          <t>Key result</t>
        </is>
      </c>
      <c r="B23" s="49" t="inlineStr">
        <is>
          <t>1UBQ</t>
        </is>
      </c>
      <c r="C23" s="50" t="inlineStr">
        <is>
          <t>Local Outlier Factor</t>
        </is>
      </c>
      <c r="D23" s="49" t="inlineStr">
        <is>
          <t>Rare-transition AUROC</t>
        </is>
      </c>
      <c r="E23" s="67" t="n">
        <v>0.463</v>
      </c>
      <c r="F23" s="49" t="inlineStr">
        <is>
          <t>chance</t>
        </is>
      </c>
      <c r="G23" s="50" t="inlineStr">
        <is>
          <t>Geometric detectors CANNOT see kinetic events</t>
        </is>
      </c>
    </row>
    <row r="24" ht="23.85" customHeight="1" s="36">
      <c r="A24" s="64" t="inlineStr">
        <is>
          <t>Key result</t>
        </is>
      </c>
      <c r="B24" s="64" t="inlineStr">
        <is>
          <t>1UBQ</t>
        </is>
      </c>
      <c r="C24" s="65" t="inlineStr">
        <is>
          <t>Pipeline surprise channel</t>
        </is>
      </c>
      <c r="D24" s="64" t="inlineStr">
        <is>
          <t>Rare-transition AUROC</t>
        </is>
      </c>
      <c r="E24" s="66" t="n">
        <v>0.907</v>
      </c>
      <c r="F24" s="64" t="inlineStr">
        <is>
          <t>best</t>
        </is>
      </c>
      <c r="G24" s="65" t="inlineStr">
        <is>
          <t>Core justification for building an MSM - candidate headline figure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34" customWidth="1" style="35" min="2" max="2"/>
    <col width="56" customWidth="1" style="35" min="3" max="3"/>
    <col width="40" customWidth="1" style="35" min="4" max="4"/>
    <col width="16" customWidth="1" style="35" min="5" max="5"/>
    <col width="11" customWidth="1" style="35" min="6" max="6"/>
    <col width="26" customWidth="1" style="35" min="7" max="7"/>
    <col width="12" customWidth="1" style="35" min="8" max="8"/>
  </cols>
  <sheetData>
    <row r="1" ht="17.35" customHeight="1" s="36">
      <c r="A1" s="42" t="inlineStr">
        <is>
          <t>Re-verification runbook</t>
        </is>
      </c>
    </row>
    <row r="2" ht="15" customHeight="1" s="36">
      <c r="A2" s="38" t="inlineStr">
        <is>
          <t>Run top to bottom to reconfirm every fix. Fill the yellow columns. Any FAIL means a fix regressed - check the defect ID in the Defect Register.</t>
        </is>
      </c>
    </row>
    <row r="3" ht="30" customHeight="1" s="36">
      <c r="A3" s="43" t="inlineStr">
        <is>
          <t>Step</t>
        </is>
      </c>
      <c r="B3" s="43" t="inlineStr">
        <is>
          <t>What it checks</t>
        </is>
      </c>
      <c r="C3" s="43" t="inlineStr">
        <is>
          <t>Command</t>
        </is>
      </c>
      <c r="D3" s="43" t="inlineStr">
        <is>
          <t>Expected outcome</t>
        </is>
      </c>
      <c r="E3" s="43" t="inlineStr">
        <is>
          <t>Defects covered</t>
        </is>
      </c>
      <c r="F3" s="43" t="inlineStr">
        <is>
          <t>Result</t>
        </is>
      </c>
      <c r="G3" s="43" t="inlineStr">
        <is>
          <t>Notes</t>
        </is>
      </c>
      <c r="H3" s="43" t="inlineStr">
        <is>
          <t>Date</t>
        </is>
      </c>
    </row>
    <row r="4" ht="15" customHeight="1" s="36">
      <c r="A4" s="44" t="n">
        <v>1</v>
      </c>
      <c r="B4" s="45" t="inlineStr">
        <is>
          <t>Environment ready</t>
        </is>
      </c>
      <c r="C4" s="68" t="inlineStr">
        <is>
          <t>conda activate mdcapstone</t>
        </is>
      </c>
      <c r="D4" s="45" t="inlineStr">
        <is>
          <t>Prompt shows (mdcapstone)</t>
        </is>
      </c>
      <c r="E4" s="44" t="inlineStr">
        <is>
          <t>-</t>
        </is>
      </c>
      <c r="F4" s="69" t="n"/>
      <c r="G4" s="48" t="n"/>
      <c r="H4" s="48" t="n"/>
    </row>
    <row r="5" ht="15" customHeight="1" s="36">
      <c r="A5" s="49" t="n">
        <v>2</v>
      </c>
      <c r="B5" s="50" t="inlineStr">
        <is>
          <t>Branch is correct</t>
        </is>
      </c>
      <c r="C5" s="70" t="inlineStr">
        <is>
          <t>git branch --show-current</t>
        </is>
      </c>
      <c r="D5" s="50" t="inlineStr">
        <is>
          <t>validation-fixes</t>
        </is>
      </c>
      <c r="E5" s="49" t="inlineStr">
        <is>
          <t>-</t>
        </is>
      </c>
      <c r="F5" s="69" t="n"/>
      <c r="G5" s="48" t="n"/>
      <c r="H5" s="48" t="n"/>
    </row>
    <row r="6" ht="15" customHeight="1" s="36">
      <c r="A6" s="44" t="n">
        <v>3</v>
      </c>
      <c r="B6" s="45" t="inlineStr">
        <is>
          <t>Unit tests - all fixes</t>
        </is>
      </c>
      <c r="C6" s="68" t="inlineStr">
        <is>
          <t>python -m pytest tests/test_production_scoring.py -v</t>
        </is>
      </c>
      <c r="D6" s="45" t="inlineStr">
        <is>
          <t>12 passed</t>
        </is>
      </c>
      <c r="E6" s="44" t="inlineStr">
        <is>
          <t>D-01..D-06</t>
        </is>
      </c>
      <c r="F6" s="69" t="n"/>
      <c r="G6" s="48" t="n"/>
      <c r="H6" s="48" t="n"/>
    </row>
    <row r="7" ht="22.35" customHeight="1" s="36">
      <c r="A7" s="49" t="n">
        <v>4</v>
      </c>
      <c r="B7" s="50" t="inlineStr">
        <is>
          <t>No regression in existing suites</t>
        </is>
      </c>
      <c r="C7" s="70" t="inlineStr">
        <is>
          <t>python -m pytest tests/test_signals.py tests/test_pipeline_edge_cases.py -q</t>
        </is>
      </c>
      <c r="D7" s="50" t="inlineStr">
        <is>
          <t>31 passed</t>
        </is>
      </c>
      <c r="E7" s="49" t="inlineStr">
        <is>
          <t>-</t>
        </is>
      </c>
      <c r="F7" s="69" t="n"/>
      <c r="G7" s="48" t="n"/>
      <c r="H7" s="48" t="n"/>
    </row>
    <row r="8" ht="22.35" customHeight="1" s="36">
      <c r="A8" s="44" t="n">
        <v>5</v>
      </c>
      <c r="B8" s="45" t="inlineStr">
        <is>
          <t>Integration suites</t>
        </is>
      </c>
      <c r="C8" s="68" t="inlineStr">
        <is>
          <t>python -m pytest tests/test_integration.py tests/test_reproducibility.py -q</t>
        </is>
      </c>
      <c r="D8" s="45" t="inlineStr">
        <is>
          <t>9 passed, 1 known fail (run_msm_tica)</t>
        </is>
      </c>
      <c r="E8" s="44" t="inlineStr">
        <is>
          <t>-</t>
        </is>
      </c>
      <c r="F8" s="69" t="n"/>
      <c r="G8" s="48" t="n"/>
      <c r="H8" s="48" t="n"/>
    </row>
    <row r="9" ht="43.25" customHeight="1" s="36">
      <c r="A9" s="49" t="n">
        <v>6</v>
      </c>
      <c r="B9" s="50" t="inlineStr">
        <is>
          <t>Pipeline runs end to end</t>
        </is>
      </c>
      <c r="C9" s="70" t="inlineStr">
        <is>
          <t>python run_all_proteins.py --data_dir data --artifacts_dir chk_artifacts --results_dir chk_results --lag_tica 5 --dim_tica 3 --n_clusters 10 --lag_msm 5 --k_neighbors 5 --window 3</t>
        </is>
      </c>
      <c r="D9" s="50" t="inlineStr">
        <is>
          <t>Succeeds; logs 'MSM active set covers N of M cluster states'</t>
        </is>
      </c>
      <c r="E9" s="49" t="inlineStr">
        <is>
          <t>D-01</t>
        </is>
      </c>
      <c r="F9" s="69" t="n"/>
      <c r="G9" s="48" t="n"/>
      <c r="H9" s="48" t="n"/>
    </row>
    <row r="10" ht="15" customHeight="1" s="36">
      <c r="A10" s="44" t="n">
        <v>7</v>
      </c>
      <c r="B10" s="45" t="inlineStr">
        <is>
          <t>Active-set warning present</t>
        </is>
      </c>
      <c r="C10" s="68" t="inlineStr">
        <is>
          <t>grep -c 'active set covers' &lt;run log&gt;</t>
        </is>
      </c>
      <c r="D10" s="45" t="inlineStr">
        <is>
          <t>&gt;= 1 per protein with pruned states</t>
        </is>
      </c>
      <c r="E10" s="44" t="inlineStr">
        <is>
          <t>D-01</t>
        </is>
      </c>
      <c r="F10" s="69" t="n"/>
      <c r="G10" s="48" t="n"/>
      <c r="H10" s="48" t="n"/>
    </row>
    <row r="11" ht="15" customHeight="1" s="36">
      <c r="A11" s="49" t="n">
        <v>8</v>
      </c>
      <c r="B11" s="50" t="inlineStr">
        <is>
          <t>state_symbols.npy written</t>
        </is>
      </c>
      <c r="C11" s="70" t="inlineStr">
        <is>
          <t>ls chk_artifacts/*/state_symbols.npy</t>
        </is>
      </c>
      <c r="D11" s="50" t="inlineStr">
        <is>
          <t>One file per protein with pruned states</t>
        </is>
      </c>
      <c r="E11" s="49" t="inlineStr">
        <is>
          <t>D-01</t>
        </is>
      </c>
      <c r="F11" s="69" t="n"/>
      <c r="G11" s="48" t="n"/>
      <c r="H11" s="48" t="n"/>
    </row>
    <row r="12" ht="15" customHeight="1" s="36">
      <c r="A12" s="44" t="n">
        <v>9</v>
      </c>
      <c r="B12" s="45" t="inlineStr">
        <is>
          <t>Residue scores are not pure RMSF</t>
        </is>
      </c>
      <c r="C12" s="68" t="inlineStr">
        <is>
          <t>python validation/layer3_external.py</t>
        </is>
      </c>
      <c r="D12" s="45" t="inlineStr">
        <is>
          <t>rho(B,score) != rho(B,RMSF); both ~0.55-0.65</t>
        </is>
      </c>
      <c r="E12" s="44" t="inlineStr">
        <is>
          <t>D-04</t>
        </is>
      </c>
      <c r="F12" s="69" t="n"/>
      <c r="G12" s="48" t="n"/>
      <c r="H12" s="48" t="n"/>
    </row>
    <row r="13" ht="32.8" customHeight="1" s="36">
      <c r="A13" s="49" t="n">
        <v>10</v>
      </c>
      <c r="B13" s="50" t="inlineStr">
        <is>
          <t>Multi-chain residue count correct</t>
        </is>
      </c>
      <c r="C13" s="70" t="inlineStr">
        <is>
          <t>python -c "import json;print(len(json.load(open('chk_results/8H0R/residue_scores_dynamic.json'))))"</t>
        </is>
      </c>
      <c r="D13" s="50" t="inlineStr">
        <is>
          <t>182 for 8H0R (not 91)</t>
        </is>
      </c>
      <c r="E13" s="49" t="inlineStr">
        <is>
          <t>D-05</t>
        </is>
      </c>
      <c r="F13" s="69" t="n"/>
      <c r="G13" s="48" t="n"/>
      <c r="H13" s="48" t="n"/>
    </row>
    <row r="14" ht="15" customHeight="1" s="36">
      <c r="A14" s="44" t="n">
        <v>11</v>
      </c>
      <c r="B14" s="45" t="inlineStr">
        <is>
          <t>RMSF export produced</t>
        </is>
      </c>
      <c r="C14" s="68" t="inlineStr">
        <is>
          <t>ls chk_results/*/residue_scores_rmsf.json</t>
        </is>
      </c>
      <c r="D14" s="45" t="inlineStr">
        <is>
          <t>One per protein</t>
        </is>
      </c>
      <c r="E14" s="44" t="inlineStr">
        <is>
          <t>D-06</t>
        </is>
      </c>
      <c r="F14" s="69" t="n"/>
      <c r="G14" s="48" t="n"/>
      <c r="H14" s="48" t="n"/>
    </row>
    <row r="15" ht="43.25" customHeight="1" s="36">
      <c r="A15" s="49" t="n">
        <v>12</v>
      </c>
      <c r="B15" s="50" t="inlineStr">
        <is>
          <t>ASVS export is not constant</t>
        </is>
      </c>
      <c r="C15" s="70" t="inlineStr">
        <is>
          <t>python -c "import json;d=json.load(open('chk_exports/8H0R/anomaly_residue.json'));print(len({v for f in d if f.isdigit() for v in d[f].values()}))"</t>
        </is>
      </c>
      <c r="D15" s="50" t="inlineStr">
        <is>
          <t>&gt; 1 distinct value (was 1, all 0.25)</t>
        </is>
      </c>
      <c r="E15" s="49" t="inlineStr">
        <is>
          <t>D-06</t>
        </is>
      </c>
      <c r="F15" s="69" t="n"/>
      <c r="G15" s="48" t="n"/>
      <c r="H15" s="48" t="n"/>
    </row>
    <row r="16" ht="15" customHeight="1" s="36">
      <c r="A16" s="44" t="n">
        <v>13</v>
      </c>
      <c r="B16" s="45" t="inlineStr">
        <is>
          <t>Numerical validation</t>
        </is>
      </c>
      <c r="C16" s="68" t="inlineStr">
        <is>
          <t>python validation/baseline_numerical.py</t>
        </is>
      </c>
      <c r="D16" s="45" t="inlineStr">
        <is>
          <t>JSON written; tie spreads 0 with fair ranks</t>
        </is>
      </c>
      <c r="E16" s="44" t="inlineStr">
        <is>
          <t>D-01,D-02</t>
        </is>
      </c>
      <c r="F16" s="69" t="n"/>
      <c r="G16" s="48" t="n"/>
      <c r="H16" s="48" t="n"/>
    </row>
    <row r="17" ht="15" customHeight="1" s="36">
      <c r="A17" s="49" t="n">
        <v>14</v>
      </c>
      <c r="B17" s="50" t="inlineStr">
        <is>
          <t>Edge cases</t>
        </is>
      </c>
      <c r="C17" s="70" t="inlineStr">
        <is>
          <t>python validation/baseline_edge_cases.py</t>
        </is>
      </c>
      <c r="D17" s="50" t="inlineStr">
        <is>
          <t>23 ok, 2 expected fail-fast (constant features)</t>
        </is>
      </c>
      <c r="E17" s="49" t="inlineStr">
        <is>
          <t>D-01,D-03</t>
        </is>
      </c>
      <c r="F17" s="69" t="n"/>
      <c r="G17" s="48" t="n"/>
      <c r="H17" s="48" t="n"/>
    </row>
    <row r="18" ht="15" customHeight="1" s="36">
      <c r="A18" s="44" t="n">
        <v>15</v>
      </c>
      <c r="B18" s="45" t="inlineStr">
        <is>
          <t>Rare-case accuracy</t>
        </is>
      </c>
      <c r="C18" s="68" t="inlineStr">
        <is>
          <t>python validation/baseline_rare_case.py</t>
        </is>
      </c>
      <c r="D18" s="45" t="inlineStr">
        <is>
          <t>Rare-state fused AUROC &gt;= 0.90 on all systems</t>
        </is>
      </c>
      <c r="E18" s="44" t="inlineStr">
        <is>
          <t>D-01,D-03</t>
        </is>
      </c>
      <c r="F18" s="69" t="n"/>
      <c r="G18" s="48" t="n"/>
      <c r="H18" s="48" t="n"/>
    </row>
    <row r="19" ht="15" customHeight="1" s="36">
      <c r="A19" s="49" t="n">
        <v>16</v>
      </c>
      <c r="B19" s="50" t="inlineStr">
        <is>
          <t>MSM validity battery</t>
        </is>
      </c>
      <c r="C19" s="70" t="inlineStr">
        <is>
          <t>python validation/layer2_msm_validity.py</t>
        </is>
      </c>
      <c r="D19" s="50" t="inlineStr">
        <is>
          <t>JSON + 15 figures in validation/figures/</t>
        </is>
      </c>
      <c r="E19" s="49" t="inlineStr">
        <is>
          <t>D-07,D-08</t>
        </is>
      </c>
      <c r="F19" s="69" t="n"/>
      <c r="G19" s="48" t="n"/>
      <c r="H19" s="48" t="n"/>
    </row>
    <row r="20" ht="22.35" customHeight="1" s="36">
      <c r="A20" s="44" t="n">
        <v>17</v>
      </c>
      <c r="B20" s="45" t="inlineStr">
        <is>
          <t>Compare against recorded metrics</t>
        </is>
      </c>
      <c r="C20" s="68" t="inlineStr">
        <is>
          <t>Open 'Metrics Before-After' tab; check post-fix column matches new run</t>
        </is>
      </c>
      <c r="D20" s="45" t="inlineStr">
        <is>
          <t>No row reads REGRESSED</t>
        </is>
      </c>
      <c r="E20" s="44" t="inlineStr">
        <is>
          <t>all</t>
        </is>
      </c>
      <c r="F20" s="69" t="n"/>
      <c r="G20" s="48" t="n"/>
      <c r="H20" s="48" t="n"/>
    </row>
    <row r="22" ht="15" customHeight="1" s="36">
      <c r="B22" s="41" t="inlineStr">
        <is>
          <t>Steps passed:</t>
        </is>
      </c>
      <c r="C22" s="41">
        <f>COUNTIF(F4:F20,"PASS")&amp;" of 17"</f>
        <v/>
      </c>
    </row>
    <row r="23" ht="15" customHeight="1" s="36">
      <c r="B23" s="41" t="inlineStr">
        <is>
          <t>Any failure?</t>
        </is>
      </c>
      <c r="C23" s="41">
        <f>IF(COUNTIF(F4:F20,"FAIL")=0,"None","INVESTIGATE - see Defect Register")</f>
        <v/>
      </c>
    </row>
    <row r="25" ht="15" customHeight="1" s="36">
      <c r="B25" s="38" t="inlineStr">
        <is>
          <t>EXAMPLE -&gt;</t>
        </is>
      </c>
      <c r="F25" s="58" t="inlineStr">
        <is>
          <t>PASS</t>
        </is>
      </c>
      <c r="G25" s="58" t="inlineStr">
        <is>
          <t>12 passed in 1.2s</t>
        </is>
      </c>
      <c r="H25" s="58" t="inlineStr">
        <is>
          <t>2026-09-01</t>
        </is>
      </c>
    </row>
  </sheetData>
  <dataValidations count="1">
    <dataValidation sqref="F4:F20" showDropDown="0" showInputMessage="0" showErrorMessage="0" allowBlank="1" type="list" errorStyle="stop" operator="between">
      <formula1>"PASS,FAIL,SKIPPED"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3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46" customWidth="1" style="35" min="2" max="2"/>
    <col width="16" customWidth="1" style="35" min="3" max="3"/>
    <col width="52" customWidth="1" style="35" min="4" max="4"/>
    <col width="18" customWidth="1" style="35" min="5" max="5"/>
    <col width="14" customWidth="1" style="35" min="6" max="6"/>
    <col width="13" customWidth="1" style="35" min="7" max="7"/>
    <col width="14" customWidth="1" style="35" min="8" max="8"/>
  </cols>
  <sheetData>
    <row r="1" ht="17.35" customHeight="1" s="36">
      <c r="A1" s="42" t="inlineStr">
        <is>
          <t>Open items and pre-publication checklist</t>
        </is>
      </c>
    </row>
    <row r="2" ht="15" customHeight="1" s="36">
      <c r="A2" s="38" t="inlineStr">
        <is>
          <t>Items that remain outstanding. Owner and target-date columns are for you to fill in.</t>
        </is>
      </c>
    </row>
    <row r="3" ht="30" customHeight="1" s="36">
      <c r="A3" s="43" t="inlineStr">
        <is>
          <t>ID</t>
        </is>
      </c>
      <c r="B3" s="43" t="inlineStr">
        <is>
          <t>Item</t>
        </is>
      </c>
      <c r="C3" s="43" t="inlineStr">
        <is>
          <t>Category</t>
        </is>
      </c>
      <c r="D3" s="43" t="inlineStr">
        <is>
          <t>Why it matters</t>
        </is>
      </c>
      <c r="E3" s="43" t="inlineStr">
        <is>
          <t>Blocking publication?</t>
        </is>
      </c>
      <c r="F3" s="43" t="inlineStr">
        <is>
          <t>Owner</t>
        </is>
      </c>
      <c r="G3" s="43" t="inlineStr">
        <is>
          <t>Target date</t>
        </is>
      </c>
      <c r="H3" s="43" t="inlineStr">
        <is>
          <t>Status</t>
        </is>
      </c>
    </row>
    <row r="4" ht="23.85" customHeight="1" s="36">
      <c r="A4" s="77" t="inlineStr">
        <is>
          <t>OI-1</t>
        </is>
      </c>
      <c r="B4" s="78" t="inlineStr">
        <is>
          <t>Regenerate headline systems with 50,000-step trajectories (or use ATLAS / long-trajectory dataset)</t>
        </is>
      </c>
      <c r="C4" s="77" t="inlineStr">
        <is>
          <t>Sampling</t>
        </is>
      </c>
      <c r="D4" s="78" t="inlineStr">
        <is>
          <t>At 100 frames the CK test has no power, ITS unconverged, pi CI wider than the value itself  || Resolved 2026-08-29 — Phase 3 ran on 25 ATLAS proteins at 1,001 frames x 3 replicates; C1-C5 all pass. Superseded by OI-15 (10,000-frame archives).</t>
        </is>
      </c>
      <c r="E4" s="79" t="inlineStr">
        <is>
          <t>YES</t>
        </is>
      </c>
      <c r="F4" s="80" t="n"/>
      <c r="G4" s="80" t="n"/>
      <c r="H4" s="81" t="inlineStr">
        <is>
          <t>Closed</t>
        </is>
      </c>
    </row>
    <row r="5" ht="23.85" customHeight="1" s="36">
      <c r="A5" s="82" t="inlineStr">
        <is>
          <t>OI-2</t>
        </is>
      </c>
      <c r="B5" s="83" t="inlineStr">
        <is>
          <t>Repeat Layer 2 battery on longer trajectories; publish CK + ITS figures per system</t>
        </is>
      </c>
      <c r="C5" s="82" t="inlineStr">
        <is>
          <t>Validation</t>
        </is>
      </c>
      <c r="D5" s="83" t="inlineStr">
        <is>
          <t>These are the figures MSM reviewers expect first  || Partially resolved — Phase 3 supplies the distribution across 25 proteins with null and confound controls. Full CK/ITS battery on ATLAS length still outstanding (OI-15).</t>
        </is>
      </c>
      <c r="E5" s="79" t="inlineStr">
        <is>
          <t>YES</t>
        </is>
      </c>
      <c r="F5" s="80" t="n"/>
      <c r="G5" s="80" t="n"/>
      <c r="H5" s="81" t="inlineStr">
        <is>
          <t>Closed</t>
        </is>
      </c>
    </row>
    <row r="6" ht="23.85" customHeight="1" s="36">
      <c r="A6" s="77" t="inlineStr">
        <is>
          <t>OI-3</t>
        </is>
      </c>
      <c r="B6" s="78" t="inlineStr">
        <is>
          <t>Re-derive hyper-parameters via cross-validated VAMP-2 once sampling supports it</t>
        </is>
      </c>
      <c r="C6" s="77" t="inlineStr">
        <is>
          <t>Model selection</t>
        </is>
      </c>
      <c r="D6" s="78" t="inlineStr">
        <is>
          <t>lag 5 / dim 3 / 10 clusters are unjustified defaults; current grid saturates (overfits)  || RETARGETED 2026-08-29: Arbon, Zhu &amp; Mey (JCTC 2024, ~280,000 MSMs) find variational scores are 'only a guide' and cannot automate selection; enforcing reversibility inside VAMP can make it inconsistent. 'Maximise VAMP-2' is no longer a sufficient justification.</t>
        </is>
      </c>
      <c r="E6" s="79" t="inlineStr">
        <is>
          <t>YES</t>
        </is>
      </c>
      <c r="F6" s="80" t="n"/>
      <c r="G6" s="80" t="n"/>
      <c r="H6" s="80" t="inlineStr">
        <is>
          <t>Open</t>
        </is>
      </c>
    </row>
    <row r="7" ht="15" customHeight="1" s="36">
      <c r="A7" s="49" t="inlineStr">
        <is>
          <t>OI-4</t>
        </is>
      </c>
      <c r="B7" s="50" t="inlineStr">
        <is>
          <t>Report bootstrap CIs alongside every pi-derived quantity</t>
        </is>
      </c>
      <c r="C7" s="49" t="inlineStr">
        <is>
          <t>Reporting</t>
        </is>
      </c>
      <c r="D7" s="50" t="inlineStr">
        <is>
          <t>Point estimates without intervals overstate precision</t>
        </is>
      </c>
      <c r="E7" s="54" t="inlineStr">
        <is>
          <t>YES</t>
        </is>
      </c>
      <c r="F7" s="48" t="n"/>
      <c r="G7" s="48" t="n"/>
      <c r="H7" s="48" t="inlineStr">
        <is>
          <t>Open</t>
        </is>
      </c>
    </row>
    <row r="8" ht="23.85" customHeight="1" s="36">
      <c r="A8" s="44" t="inlineStr">
        <is>
          <t>OI-5</t>
        </is>
      </c>
      <c r="B8" s="45" t="inlineStr">
        <is>
          <t>Complete 9O6O and 9UNN runs; extend B-factor table to 4 systems</t>
        </is>
      </c>
      <c r="C8" s="44" t="inlineStr">
        <is>
          <t>Coverage</t>
        </is>
      </c>
      <c r="D8" s="45" t="inlineStr">
        <is>
          <t>Gives 4 independent experimental benchmarks spanning X-ray and cryo-EM</t>
        </is>
      </c>
      <c r="E8" s="53" t="inlineStr">
        <is>
          <t>No</t>
        </is>
      </c>
      <c r="F8" s="48" t="n"/>
      <c r="G8" s="48" t="n"/>
      <c r="H8" s="48" t="inlineStr">
        <is>
          <t>In progress</t>
        </is>
      </c>
    </row>
    <row r="9" ht="23.85" customHeight="1" s="36">
      <c r="A9" s="49" t="inlineStr">
        <is>
          <t>OI-6</t>
        </is>
      </c>
      <c r="B9" s="50" t="inlineStr">
        <is>
          <t>Obtain GPU / HPC access</t>
        </is>
      </c>
      <c r="C9" s="49" t="inlineStr">
        <is>
          <t>Infrastructure</t>
        </is>
      </c>
      <c r="D9" s="50" t="inlineStr">
        <is>
          <t>MD generation is the binding constraint; 9UNN is 23k atoms, hours on laptop. Unblocks OI-1 and OI-5</t>
        </is>
      </c>
      <c r="E9" s="54" t="inlineStr">
        <is>
          <t>YES (indirectly)</t>
        </is>
      </c>
      <c r="F9" s="48" t="n"/>
      <c r="G9" s="48" t="n"/>
      <c r="H9" s="48" t="inlineStr">
        <is>
          <t>Open</t>
        </is>
      </c>
    </row>
    <row r="10" ht="23.85" customHeight="1" s="36">
      <c r="A10" s="77" t="inlineStr">
        <is>
          <t>OI-7</t>
        </is>
      </c>
      <c r="B10" s="78" t="inlineStr">
        <is>
          <t>Add literature-based functional-site validation (villin headpiece)</t>
        </is>
      </c>
      <c r="C10" s="77" t="inlineStr">
        <is>
          <t>External validity</t>
        </is>
      </c>
      <c r="D10" s="78" t="inlineStr">
        <is>
          <t>Stronger external ground truth than operational MSM labels  || Resolved 2026-08-29 — Phase 4 built the functional-site validation from deposited crystal contacts. Result is NEGATIVE (report Sec 8).</t>
        </is>
      </c>
      <c r="E10" s="84" t="inlineStr">
        <is>
          <t>No</t>
        </is>
      </c>
      <c r="F10" s="80" t="n"/>
      <c r="G10" s="80" t="n"/>
      <c r="H10" s="81" t="inlineStr">
        <is>
          <t>Closed</t>
        </is>
      </c>
    </row>
    <row r="11" ht="23.85" customHeight="1" s="36">
      <c r="A11" s="49" t="inlineStr">
        <is>
          <t>OI-8</t>
        </is>
      </c>
      <c r="B11" s="50" t="inlineStr">
        <is>
          <t>Replace deeptime KMeans with deterministic clustering</t>
        </is>
      </c>
      <c r="C11" s="49" t="inlineStr">
        <is>
          <t>Reproducibility</t>
        </is>
      </c>
      <c r="D11" s="50" t="inlineStr">
        <is>
          <t>ARI 0.43-0.51 across machines; artifacts are currently platform-specific</t>
        </is>
      </c>
      <c r="E11" s="55" t="inlineStr">
        <is>
          <t>No</t>
        </is>
      </c>
      <c r="F11" s="48" t="n"/>
      <c r="G11" s="48" t="n"/>
      <c r="H11" s="48" t="inlineStr">
        <is>
          <t>Open</t>
        </is>
      </c>
    </row>
    <row r="12" ht="23.85" customHeight="1" s="36">
      <c r="A12" s="44" t="inlineStr">
        <is>
          <t>OI-9</t>
        </is>
      </c>
      <c r="B12" s="45" t="inlineStr">
        <is>
          <t>Report rarity and surprise channels separately; evaluate max-fusion</t>
        </is>
      </c>
      <c r="C12" s="44" t="inlineStr">
        <is>
          <t>Method</t>
        </is>
      </c>
      <c r="D12" s="45" t="inlineStr">
        <is>
          <t>Channels are anti-correlated (rho -0.19 to -0.58); median fusion lets them cancel</t>
        </is>
      </c>
      <c r="E12" s="53" t="inlineStr">
        <is>
          <t>No</t>
        </is>
      </c>
      <c r="F12" s="48" t="n"/>
      <c r="G12" s="48" t="n"/>
      <c r="H12" s="48" t="inlineStr">
        <is>
          <t>Open</t>
        </is>
      </c>
    </row>
    <row r="13" ht="23.85" customHeight="1" s="36">
      <c r="A13" s="49" t="inlineStr">
        <is>
          <t>OI-10</t>
        </is>
      </c>
      <c r="B13" s="50" t="inlineStr">
        <is>
          <t>Repository hygiene: remove abc.py (shadows stdlib), fix requirements.txt, prune twin-repo doc references</t>
        </is>
      </c>
      <c r="C13" s="49" t="inlineStr">
        <is>
          <t>Housekeeping</t>
        </is>
      </c>
      <c r="D13" s="50" t="inlineStr">
        <is>
          <t>abc.py breaks any script run from repo root; docs cite ~15 files that do not exist here</t>
        </is>
      </c>
      <c r="E13" s="55" t="inlineStr">
        <is>
          <t>No</t>
        </is>
      </c>
      <c r="F13" s="48" t="n"/>
      <c r="G13" s="48" t="n"/>
      <c r="H13" s="48" t="inlineStr">
        <is>
          <t>Open</t>
        </is>
      </c>
    </row>
    <row r="14" ht="35.05" customHeight="1" s="36">
      <c r="A14" s="44" t="inlineStr">
        <is>
          <t>OI-14</t>
        </is>
      </c>
      <c r="B14" s="45" t="inlineStr">
        <is>
          <t>Design a KINETIC seeded-anomaly test: rare states that are structurally ordinary</t>
        </is>
      </c>
      <c r="C14" s="44" t="inlineStr">
        <is>
          <t>External validity</t>
        </is>
      </c>
      <c r="D14" s="45" t="inlineStr">
        <is>
          <t>Phase 1 seeded thermodynamic anomalies (expanded 450K conformations) which a trivial RMSD baseline detects perfectly. The kinetic claim is still untested</t>
        </is>
      </c>
      <c r="E14" s="54" t="inlineStr">
        <is>
          <t>YES</t>
        </is>
      </c>
      <c r="F14" s="48" t="n"/>
      <c r="G14" s="48" t="n"/>
      <c r="H14" s="48" t="inlineStr">
        <is>
          <t>Open</t>
        </is>
      </c>
    </row>
    <row r="15" ht="35.05" customHeight="1" s="36">
      <c r="A15" s="82" t="inlineStr">
        <is>
          <t>OI-12</t>
        </is>
      </c>
      <c r="B15" s="83" t="inlineStr">
        <is>
          <t>Obtain MSM-independent ground truth (literature functional sites, mutational/binding data, or long-trajectory datasets with characterised rare events)</t>
        </is>
      </c>
      <c r="C15" s="82" t="inlineStr">
        <is>
          <t>External validity</t>
        </is>
      </c>
      <c r="D15" s="83" t="inlineStr">
        <is>
          <t>Current accuracy labels derive from the same MSM the method consumes - see E-3, E-4. No external validity claim is currently supportable  || Resolved 2026-08-29 — MSM-independent ground truth obtained (crystal contacts, apo MD, no leakage). Attribution does not beat RMSF.</t>
        </is>
      </c>
      <c r="E15" s="79" t="inlineStr">
        <is>
          <t>YES</t>
        </is>
      </c>
      <c r="F15" s="80" t="n"/>
      <c r="G15" s="80" t="n"/>
      <c r="H15" s="81" t="inlineStr">
        <is>
          <t>Closed</t>
        </is>
      </c>
    </row>
    <row r="16" ht="23.85" customHeight="1" s="36">
      <c r="A16" s="77" t="inlineStr">
        <is>
          <t>OI-13</t>
        </is>
      </c>
      <c r="B16" s="78" t="inlineStr">
        <is>
          <t>Redesign residue aggregation so the anomaly term is not swamped by RMSF</t>
        </is>
      </c>
      <c r="C16" s="77" t="inlineStr">
        <is>
          <t>Method</t>
        </is>
      </c>
      <c r="D16" s="78" t="inlineStr">
        <is>
          <t>Post-fix residue scores are still ~99% collinear with RMSF - see E-1  || Collinearity resolved (rho ~0.00, E-1) but Phase 4 shows orthogonalisation did not make the map informative. See OI-16.</t>
        </is>
      </c>
      <c r="E16" s="79" t="inlineStr">
        <is>
          <t>YES</t>
        </is>
      </c>
      <c r="F16" s="80" t="n"/>
      <c r="G16" s="80" t="n"/>
      <c r="H16" s="81" t="inlineStr">
        <is>
          <t>Closed</t>
        </is>
      </c>
    </row>
    <row r="17" ht="23.85" customHeight="1" s="36">
      <c r="A17" s="49" t="inlineStr">
        <is>
          <t>OI-11</t>
        </is>
      </c>
      <c r="B17" s="50" t="inlineStr">
        <is>
          <t>Merge validation-fixes into main after review</t>
        </is>
      </c>
      <c r="C17" s="49" t="inlineStr">
        <is>
          <t>Process</t>
        </is>
      </c>
      <c r="D17" s="50" t="inlineStr">
        <is>
          <t>All fixes currently isolated on the branch; main still produces uncorrected results</t>
        </is>
      </c>
      <c r="E17" s="54" t="inlineStr">
        <is>
          <t>YES</t>
        </is>
      </c>
      <c r="F17" s="48" t="n"/>
      <c r="G17" s="48" t="n"/>
      <c r="H17" s="48" t="inlineStr">
        <is>
          <t>Open</t>
        </is>
      </c>
    </row>
    <row r="18">
      <c r="A18" s="74" t="inlineStr">
        <is>
          <t>OI-15</t>
        </is>
      </c>
      <c r="B18" s="74" t="inlineStr">
        <is>
          <t>Re-run Phase 3 and the Layer 2 battery on the ATLAS 10,000-frame `protein` archives</t>
        </is>
      </c>
      <c r="C18" s="74" t="inlineStr">
        <is>
          <t>Sampling</t>
        </is>
      </c>
      <c r="D18" s="74" t="inlineStr">
        <is>
          <t>Every Part II number rests on 1,000-frame `analysis` archives. 10x sampling would tighten CK intervals, let ITS plateau, and reduce the -7.8% RMSF bias against the ATLAS reference.</t>
        </is>
      </c>
      <c r="E18" s="74" t="inlineStr">
        <is>
          <t>No</t>
        </is>
      </c>
      <c r="F18" s="74" t="inlineStr"/>
      <c r="G18" s="74" t="inlineStr"/>
      <c r="H18" s="74" t="inlineStr">
        <is>
          <t>Open</t>
        </is>
      </c>
    </row>
    <row r="19" ht="15" customHeight="1" s="36">
      <c r="A19" s="74" t="inlineStr">
        <is>
          <t>OI-16</t>
        </is>
      </c>
      <c r="B19" s="85" t="inlineStr">
        <is>
          <t>Decide the product claim for the residue map, or replace the attribution method</t>
        </is>
      </c>
      <c r="C19" s="74" t="inlineStr">
        <is>
          <t>Product</t>
        </is>
      </c>
      <c r="D19" s="74" t="inlineStr">
        <is>
          <t>Phase 4: attribution 0.556 vs RMSF 0.536, F1/F2/F4 all fail. The map must not imply functional importance. Either ship RMSF honestly labelled, or design a different attribution and re-test.</t>
        </is>
      </c>
      <c r="E19" s="85" t="inlineStr">
        <is>
          <t>YES</t>
        </is>
      </c>
      <c r="F19" s="74" t="inlineStr"/>
      <c r="G19" s="74" t="inlineStr"/>
      <c r="H19" s="74" t="inlineStr">
        <is>
          <t>Open</t>
        </is>
      </c>
    </row>
    <row r="20">
      <c r="A20" s="74" t="inlineStr">
        <is>
          <t>OI-17</t>
        </is>
      </c>
      <c r="B20" s="74" t="inlineStr">
        <is>
          <t>Ship assess_suitability as a blocking gate in the visualisation software</t>
        </is>
      </c>
      <c r="C20" s="74" t="inlineStr">
        <is>
          <t>Product</t>
        </is>
      </c>
      <c r="D20" s="74" t="inlineStr">
        <is>
          <t>45% of ATLAS trajectories cannot support the analysis. A tool that always returns a map returns a meaningless one on nearly half of arbitrary inputs.</t>
        </is>
      </c>
      <c r="E20" s="74" t="inlineStr">
        <is>
          <t>No</t>
        </is>
      </c>
      <c r="F20" s="74" t="inlineStr"/>
      <c r="G20" s="74" t="inlineStr"/>
      <c r="H20" s="74" t="inlineStr">
        <is>
          <t>Open</t>
        </is>
      </c>
    </row>
    <row r="21">
      <c r="A21" s="74" t="inlineStr">
        <is>
          <t>OI-18</t>
        </is>
      </c>
      <c r="B21" s="74" t="inlineStr">
        <is>
          <t>Obtain multi-temperature data (mdCATH) for a natural rare-event label</t>
        </is>
      </c>
      <c r="C21" s="74" t="inlineStr">
        <is>
          <t>External validity</t>
        </is>
      </c>
      <c r="D21" s="74" t="inlineStr">
        <is>
          <t>Phases 1-3 all use anomalies WE constructed (seeded events, manufactured splices). Temperature replicates are the only designed route to rarity labelled by the dataset.  || PARTLY SUPERSEDED - mdCATH confirmed available (5,398 domains, 320-450 K) but per-domain files are 278 MB-1.6 GB and the cloud container has no route to huggingface.co. Needs a local download. The calibration question it was wanted for is answerable on ATLAS (OI-32).</t>
        </is>
      </c>
      <c r="E21" s="74" t="inlineStr">
        <is>
          <t>YES</t>
        </is>
      </c>
      <c r="F21" s="74" t="inlineStr"/>
      <c r="G21" s="74" t="inlineStr"/>
      <c r="H21" s="74" t="inlineStr">
        <is>
          <t>Superseded</t>
        </is>
      </c>
    </row>
    <row r="22">
      <c r="A22" s="74" t="inlineStr">
        <is>
          <t>OI-19</t>
        </is>
      </c>
      <c r="B22" s="74" t="inlineStr">
        <is>
          <t>Re-fetch Phase 4 sample with --with-ligand to raise n</t>
        </is>
      </c>
      <c r="C22" s="74" t="inlineStr">
        <is>
          <t>Statistics</t>
        </is>
      </c>
      <c r="D22" s="74" t="inlineStr">
        <is>
          <t>9 of 25 proteins were unevaluable, 4 because the deposited entry has no ligand at all. Same test, same criteria, more power. Does not change the current verdict.</t>
        </is>
      </c>
      <c r="E22" s="74" t="inlineStr">
        <is>
          <t>No</t>
        </is>
      </c>
      <c r="F22" s="74" t="inlineStr"/>
      <c r="G22" s="74" t="inlineStr"/>
      <c r="H22" s="74" t="inlineStr">
        <is>
          <t>Open</t>
        </is>
      </c>
    </row>
    <row r="23">
      <c r="A23" s="74" t="inlineStr">
        <is>
          <t>OI-20</t>
        </is>
      </c>
      <c r="B23" s="74" t="inlineStr">
        <is>
          <t>Fix tests/test_chapter9_evaluation.py import (No module named 'experiments')</t>
        </is>
      </c>
      <c r="C23" s="74" t="inlineStr">
        <is>
          <t>Housekeeping</t>
        </is>
      </c>
      <c r="D23" s="74" t="inlineStr">
        <is>
          <t>Breaks a bare `pytest tests/`; the suite must be run per-file until fixed.</t>
        </is>
      </c>
      <c r="E23" s="74" t="inlineStr">
        <is>
          <t>No</t>
        </is>
      </c>
      <c r="F23" s="74" t="inlineStr"/>
      <c r="G23" s="74" t="inlineStr"/>
      <c r="H23" s="74" t="inlineStr">
        <is>
          <t>Open</t>
        </is>
      </c>
    </row>
    <row r="24">
      <c r="A24" s="74" t="inlineStr">
        <is>
          <t>OI-21</t>
        </is>
      </c>
      <c r="B24" s="74" t="inlineStr">
        <is>
          <t>Re-run Phase 3 with the new controls and read the seam-geometry verdict before citing Section 7.5</t>
        </is>
      </c>
      <c r="C24" s="74" t="inlineStr">
        <is>
          <t>Validation</t>
        </is>
      </c>
      <c r="D24" s="74" t="inlineStr">
        <is>
          <t>If junctions are geometric outliers on ATLAS as they are on the villin smoke test, the headline claim is not falsifiable on this design and must be withdrawn or the construction changed.  || DONE 2026-08-29 - Phase 3 re-run with all controls. Seam verdict: junctions at the 100th percentile of ordinary steps. Result is E-7, the retraction.</t>
        </is>
      </c>
      <c r="E24" s="74" t="inlineStr">
        <is>
          <t>YES</t>
        </is>
      </c>
      <c r="F24" s="74" t="inlineStr"/>
      <c r="G24" s="74" t="inlineStr"/>
      <c r="H24" s="91" t="inlineStr">
        <is>
          <t>Closed</t>
        </is>
      </c>
    </row>
    <row r="25">
      <c r="A25" s="74" t="inlineStr">
        <is>
          <t>OI-22</t>
        </is>
      </c>
      <c r="B25" s="74" t="inlineStr">
        <is>
          <t>Restate every claim as 'sensitive to temporal discontinuity', not 'detects conformational transitions'</t>
        </is>
      </c>
      <c r="C25" s="74" t="inlineStr">
        <is>
          <t>Reporting</t>
        </is>
      </c>
      <c r="D25" s="74" t="inlineStr">
        <is>
          <t>Timmer (2000): rejecting a surrogate null shows deviation from the null class, not presence of the intended mechanism. The stronger sentence needs held-out real transitions (OI-18).</t>
        </is>
      </c>
      <c r="E25" s="74" t="inlineStr">
        <is>
          <t>YES</t>
        </is>
      </c>
      <c r="F25" s="74" t="inlineStr"/>
      <c r="G25" s="74" t="inlineStr"/>
      <c r="H25" s="74" t="inlineStr">
        <is>
          <t>Open</t>
        </is>
      </c>
    </row>
    <row r="26">
      <c r="A26" s="74" t="inlineStr">
        <is>
          <t>OI-23</t>
        </is>
      </c>
      <c r="B26" s="74" t="inlineStr">
        <is>
          <t>Add block-length sweep, partial-permutation locality control and shuffled-input ablation</t>
        </is>
      </c>
      <c r="C26" s="74" t="inlineStr">
        <is>
          <t>Validation</t>
        </is>
      </c>
      <c r="D26" s="74" t="inlineStr">
        <is>
          <t>Block permutation destroys autocorrelation globally, not just at seams; a detector could score well without being locally selective. All three are variations on the existing harness.</t>
        </is>
      </c>
      <c r="E26" s="74" t="inlineStr">
        <is>
          <t>No</t>
        </is>
      </c>
      <c r="F26" s="74" t="inlineStr"/>
      <c r="G26" s="74" t="inlineStr"/>
      <c r="H26" s="74" t="inlineStr">
        <is>
          <t>Open</t>
        </is>
      </c>
    </row>
    <row r="27">
      <c r="A27" s="74" t="inlineStr">
        <is>
          <t>OI-24</t>
        </is>
      </c>
      <c r="B27" s="74" t="inlineStr">
        <is>
          <t>Add the kinetic-map baseline (Noe &amp; Clementi 2015) and published CPD baselines (dupin, ruptures, Fan 2015)</t>
        </is>
      </c>
      <c r="C27" s="74" t="inlineStr">
        <is>
          <t>Baselines</t>
        </is>
      </c>
      <c r="D27" s="74" t="inlineStr">
        <is>
          <t>Beating time-blind detectors is necessary; beating the published kinetic competitor is what makes the contribution. Noe &amp; Clementi kinetic distance is THE operationalisation of 'kinetic rather than geometric'.</t>
        </is>
      </c>
      <c r="E27" s="74" t="inlineStr">
        <is>
          <t>YES</t>
        </is>
      </c>
      <c r="F27" s="74" t="inlineStr"/>
      <c r="G27" s="74" t="inlineStr"/>
      <c r="H27" s="74" t="inlineStr">
        <is>
          <t>Open</t>
        </is>
      </c>
    </row>
    <row r="28">
      <c r="A28" s="74" t="inlineStr">
        <is>
          <t>OI-25</t>
        </is>
      </c>
      <c r="B28" s="74" t="inlineStr">
        <is>
          <t>Cite Baldassano et al. 2017 (Neuron) as the methodological ancestor of the scramble design</t>
        </is>
      </c>
      <c r="C28" s="74" t="inlineStr">
        <is>
          <t>Reporting</t>
        </is>
      </c>
      <c r="D28" s="74" t="inlineStr">
        <is>
          <t>No MD precedent exists for temporal-scramble validation; the near-exact precedent is in neuroscience. Claiming novelty without citing it invites an easy reviewer correction.</t>
        </is>
      </c>
      <c r="E28" s="74" t="inlineStr">
        <is>
          <t>No</t>
        </is>
      </c>
      <c r="F28" s="74" t="inlineStr"/>
      <c r="G28" s="74" t="inlineStr"/>
      <c r="H28" s="74" t="inlineStr">
        <is>
          <t>Open</t>
        </is>
      </c>
    </row>
    <row r="29">
      <c r="A29" s="74" t="inlineStr">
        <is>
          <t>OI-26</t>
        </is>
      </c>
      <c r="B29" s="74" t="inlineStr">
        <is>
          <t>Rebuild the scramble construction so junctions are geometrically invisible, then re-register criteria</t>
        </is>
      </c>
      <c r="C29" s="74" t="inlineStr">
        <is>
          <t>Validation</t>
        </is>
      </c>
      <c r="D29" s="74" t="inlineStr">
        <is>
          <t>The current near-mode does not achieve invisibility on ATLAS-length data (100th percentile). Until fixed, the discriminating test the whole method rests on does not exist. Try reject-and-recut on feature-space step first.</t>
        </is>
      </c>
      <c r="E29" s="74" t="inlineStr">
        <is>
          <t>YES</t>
        </is>
      </c>
      <c r="F29" s="74" t="inlineStr"/>
      <c r="G29" s="74" t="inlineStr"/>
      <c r="H29" s="74" t="inlineStr">
        <is>
          <t>Open</t>
        </is>
      </c>
    </row>
    <row r="30">
      <c r="A30" s="74" t="inlineStr">
        <is>
          <t>OI-27</t>
        </is>
      </c>
      <c r="B30" s="74" t="inlineStr">
        <is>
          <t>Add abs_diff_oneliner to the C2/C3 comparison families</t>
        </is>
      </c>
      <c r="C30" s="74" t="inlineStr">
        <is>
          <t>Validation</t>
        </is>
      </c>
      <c r="D30" s="74" t="inlineStr">
        <is>
          <t>All six criteria passed while a four-line detector won. Any criterion set that omits the trivial temporal baseline can produce the same illusion again.</t>
        </is>
      </c>
      <c r="E30" s="74" t="inlineStr">
        <is>
          <t>YES</t>
        </is>
      </c>
      <c r="F30" s="74" t="inlineStr"/>
      <c r="G30" s="74" t="inlineStr"/>
      <c r="H30" s="74" t="inlineStr">
        <is>
          <t>Open</t>
        </is>
      </c>
    </row>
    <row r="31">
      <c r="A31" s="74" t="inlineStr">
        <is>
          <t>OI-28</t>
        </is>
      </c>
      <c r="B31" s="74" t="inlineStr">
        <is>
          <t>Withdraw Section 7.5 from any draft, slide or product claim</t>
        </is>
      </c>
      <c r="C31" s="74" t="inlineStr">
        <is>
          <t>Reporting</t>
        </is>
      </c>
      <c r="D31" s="74" t="inlineStr">
        <is>
          <t>Superseded by Section 12. The retracted sentence is the one the paper was going to be built on.</t>
        </is>
      </c>
      <c r="E31" s="74" t="inlineStr">
        <is>
          <t>YES</t>
        </is>
      </c>
      <c r="F31" s="74" t="inlineStr"/>
      <c r="G31" s="74" t="inlineStr"/>
      <c r="H31" s="74" t="inlineStr">
        <is>
          <t>Open</t>
        </is>
      </c>
    </row>
    <row r="32">
      <c r="A32" s="74" t="inlineStr">
        <is>
          <t>OI-29</t>
        </is>
      </c>
      <c r="B32" s="74" t="inlineStr">
        <is>
          <t>Test the RARITY channel against mdCATH multi-temperature data</t>
        </is>
      </c>
      <c r="C32" s="74" t="inlineStr">
        <is>
          <t>External validity</t>
        </is>
      </c>
      <c r="D32" s="74" t="inlineStr">
        <is>
          <t>The ONLY positive direction left in the campaign. Phase 6: rarity is the one channel trending earlier than random (31.0 vs 25.0, p=0.132, n=9). mdCATH supplies rarity labels the model did not make. Download needed - HuggingFace is unreachable from the cloud container.  || SUPERSEDED 2026-08-29 - the rarity claim is a CALIBRATION claim and needs replicates, not temperatures. ATLAS already has 3 per protein. Became Phase 7 (see OI-32).</t>
        </is>
      </c>
      <c r="E32" s="74" t="inlineStr">
        <is>
          <t>YES</t>
        </is>
      </c>
      <c r="F32" s="74" t="inlineStr"/>
      <c r="G32" s="74" t="inlineStr"/>
      <c r="H32" s="74" t="inlineStr">
        <is>
          <t>Superseded</t>
        </is>
      </c>
    </row>
    <row r="33">
      <c r="A33" s="74" t="inlineStr">
        <is>
          <t>OI-30</t>
        </is>
      </c>
      <c r="B33" s="74" t="inlineStr">
        <is>
          <t>Stop running variations on transition-surprise detection without a new hypothesis</t>
        </is>
      </c>
      <c r="C33" s="74" t="inlineStr">
        <is>
          <t>Process</t>
        </is>
      </c>
      <c r="D33" s="74" t="inlineStr">
        <is>
          <t>Three independent designs (Phase 3 detection, Phase 5 identity-cancelled, Phase 6 timing) all conclude the same thing. Further constructions of the same shape are not evidence-generating.</t>
        </is>
      </c>
      <c r="E33" s="74" t="inlineStr">
        <is>
          <t>No</t>
        </is>
      </c>
      <c r="F33" s="74" t="inlineStr"/>
      <c r="G33" s="74" t="inlineStr"/>
      <c r="H33" s="74" t="inlineStr">
        <is>
          <t>Open</t>
        </is>
      </c>
    </row>
    <row r="34">
      <c r="A34" s="74" t="inlineStr">
        <is>
          <t>OI-31</t>
        </is>
      </c>
      <c r="B34" s="74" t="inlineStr">
        <is>
          <t>Decide the product claim now that the kinetic detection claim is settled negative</t>
        </is>
      </c>
      <c r="C34" s="74" t="inlineStr">
        <is>
          <t>Product</t>
        </is>
      </c>
      <c r="D34" s="74" t="inlineStr">
        <is>
          <t>What survives: the suitability gate (45% out-of-domain, no published equivalent) and the externally verified geometry (r=0.892 vs ATLAS). Those are defensible. The anomaly ranking is not.</t>
        </is>
      </c>
      <c r="E34" s="74" t="inlineStr">
        <is>
          <t>YES</t>
        </is>
      </c>
      <c r="F34" s="74" t="inlineStr"/>
      <c r="G34" s="74" t="inlineStr"/>
      <c r="H34" s="74" t="inlineStr">
        <is>
          <t>Open</t>
        </is>
      </c>
    </row>
    <row r="35">
      <c r="A35" s="74" t="inlineStr">
        <is>
          <t>OI-32</t>
        </is>
      </c>
      <c r="B35" s="74" t="inlineStr">
        <is>
          <t>Fix the Phase 7 calibration harness: shared-support restriction, rank-based rare label, coverage gate</t>
        </is>
      </c>
      <c r="C35" s="74" t="inlineStr">
        <is>
          <t>Validation</t>
        </is>
      </c>
      <c r="D35" s="74" t="inlineStr">
        <is>
          <t>As run it is not interpretable - raw counting scored rho=-0.508 on 24/24 proteins, which is impossible. Cause: a median 26 of 76 training states are never visited by the held-out replicate, so the 10th-percentile threshold collapsed to zero and Spearman ran on one huge tie block.  || DONE 2026-08-29. v3 adds shared support, rank-based rare label, coverage gate and the R7 random-split control. Result: the anti-correlation is REAL (F-1), not a harness fault.</t>
        </is>
      </c>
      <c r="E35" s="74" t="inlineStr">
        <is>
          <t>YES</t>
        </is>
      </c>
      <c r="F35" s="74" t="inlineStr"/>
      <c r="G35" s="74" t="inlineStr"/>
      <c r="H35" s="91" t="inlineStr">
        <is>
          <t>Closed</t>
        </is>
      </c>
    </row>
    <row r="36">
      <c r="A36" s="74" t="inlineStr">
        <is>
          <t>OI-33</t>
        </is>
      </c>
      <c r="B36" s="74" t="inlineStr">
        <is>
          <t>Report held-out state coverage as a first-class convergence metric</t>
        </is>
      </c>
      <c r="C36" s="74" t="inlineStr">
        <is>
          <t>Reporting</t>
        </is>
      </c>
      <c r="D36" s="74" t="inlineStr">
        <is>
          <t>Phase 7 measured it incidentally: median 0.798, min 0.073, below 0.50 on 6 of 24 proteins. On 4v1g_B, 93% of the held-out replicate sits in states the training replicates never entered. This is replicate non-convergence quantified at the state level - sharper than the verdict-flipping in Sec 7.3.</t>
        </is>
      </c>
      <c r="E36" s="74" t="inlineStr">
        <is>
          <t>No</t>
        </is>
      </c>
      <c r="F36" s="74" t="inlineStr"/>
      <c r="G36" s="74" t="inlineStr"/>
      <c r="H36" s="74" t="inlineStr">
        <is>
          <t>Open</t>
        </is>
      </c>
    </row>
    <row r="37">
      <c r="A37" s="74" t="inlineStr">
        <is>
          <t>OI-34</t>
        </is>
      </c>
      <c r="B37" s="74" t="inlineStr">
        <is>
          <t>Do not report any pi-derived quantity on 100 ns data; gate them in code</t>
        </is>
      </c>
      <c r="C37" s="74" t="inlineStr">
        <is>
          <t>Product</t>
        </is>
      </c>
      <c r="D37" s="74" t="inlineStr">
        <is>
          <t>Phase 7 F-1: replicates anti-occupy at rho -0.515 where a random split gives +0.620. There is no stable equilibrium distribution to estimate, so 1-pi, populations, free energies and MFPTs are all undetermined at this sampling level. The suitability gate should refuse them, not just warn.</t>
        </is>
      </c>
      <c r="E37" s="74" t="inlineStr">
        <is>
          <t>YES</t>
        </is>
      </c>
      <c r="F37" s="74" t="inlineStr"/>
      <c r="G37" s="74" t="inlineStr"/>
      <c r="H37" s="74" t="inlineStr">
        <is>
          <t>Open</t>
        </is>
      </c>
    </row>
  </sheetData>
  <dataValidations count="1">
    <dataValidation sqref="H4:H17" showDropDown="0" showInputMessage="0" showErrorMessage="0" allowBlank="1" type="list" errorStyle="stop" operator="between">
      <formula1>"Open,In progress,Done,Deferred"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G35"/>
  <sheetViews>
    <sheetView workbookViewId="0">
      <pane ySplit="3" topLeftCell="A4" activePane="bottomLeft" state="frozen"/>
      <selection pane="bottomLeft" activeCell="A1" sqref="A1"/>
    </sheetView>
  </sheetViews>
  <sheetFormatPr baseColWidth="8" defaultRowHeight="15"/>
  <cols>
    <col width="16" customWidth="1" style="36" min="1" max="1"/>
    <col width="11" customWidth="1" style="36" min="2" max="2"/>
    <col width="15" customWidth="1" style="36" min="3" max="3"/>
    <col width="16" customWidth="1" style="36" min="4" max="4"/>
    <col width="9" customWidth="1" style="36" min="5" max="5"/>
    <col width="13" customWidth="1" style="36" min="6" max="6"/>
    <col width="12" customWidth="1" style="36" min="7" max="7"/>
  </cols>
  <sheetData>
    <row r="1">
      <c r="A1" s="71" t="inlineStr">
        <is>
          <t>Phase 3 — frame-level detection across 25 ATLAS proteins</t>
        </is>
      </c>
    </row>
    <row r="2">
      <c r="A2" s="72" t="inlineStr">
        <is>
          <t>Replicates averaged to the protein before any statistic (pseudo-replication guard). best_blind = per-protein MAX over five time-blind detectors. Criteria pre-registered in Phase 2, unchanged.</t>
        </is>
      </c>
    </row>
    <row r="3">
      <c r="A3" s="73" t="inlineStr">
        <is>
          <t>Protein</t>
        </is>
      </c>
      <c r="B3" s="73" t="inlineStr">
        <is>
          <t>Replicates</t>
        </is>
      </c>
      <c r="C3" s="73" t="inlineStr">
        <is>
          <t>Surprise AUROC</t>
        </is>
      </c>
      <c r="D3" s="73" t="inlineStr">
        <is>
          <t>Best time-blind</t>
        </is>
      </c>
      <c r="E3" s="73" t="inlineStr">
        <is>
          <t>Delta</t>
        </is>
      </c>
      <c r="F3" s="73" t="inlineStr">
        <is>
          <t>vs 0.75 bar</t>
        </is>
      </c>
      <c r="G3" s="73" t="inlineStr">
        <is>
          <t>Beats blind</t>
        </is>
      </c>
    </row>
    <row r="4">
      <c r="A4" s="74" t="inlineStr">
        <is>
          <t>1j5u_A</t>
        </is>
      </c>
      <c r="B4" s="74" t="n">
        <v>3</v>
      </c>
      <c r="C4" s="74" t="n">
        <v>0.895</v>
      </c>
      <c r="D4" s="74" t="n">
        <v>0.638</v>
      </c>
      <c r="E4" s="74" t="n">
        <v>0.256</v>
      </c>
      <c r="F4" s="75" t="inlineStr">
        <is>
          <t>PASS</t>
        </is>
      </c>
      <c r="G4" s="75" t="inlineStr">
        <is>
          <t>PASS</t>
        </is>
      </c>
    </row>
    <row r="5">
      <c r="A5" s="74" t="inlineStr">
        <is>
          <t>2ad6_D</t>
        </is>
      </c>
      <c r="B5" s="74" t="n">
        <v>3</v>
      </c>
      <c r="C5" s="74" t="n">
        <v>0.867</v>
      </c>
      <c r="D5" s="74" t="n">
        <v>0.618</v>
      </c>
      <c r="E5" s="74" t="n">
        <v>0.249</v>
      </c>
      <c r="F5" s="75" t="inlineStr">
        <is>
          <t>PASS</t>
        </is>
      </c>
      <c r="G5" s="75" t="inlineStr">
        <is>
          <t>PASS</t>
        </is>
      </c>
    </row>
    <row r="6">
      <c r="A6" s="74" t="inlineStr">
        <is>
          <t>2w56_A</t>
        </is>
      </c>
      <c r="B6" s="74" t="n">
        <v>3</v>
      </c>
      <c r="C6" s="74" t="n">
        <v>0.86</v>
      </c>
      <c r="D6" s="74" t="n">
        <v>0.652</v>
      </c>
      <c r="E6" s="74" t="n">
        <v>0.208</v>
      </c>
      <c r="F6" s="75" t="inlineStr">
        <is>
          <t>PASS</t>
        </is>
      </c>
      <c r="G6" s="75" t="inlineStr">
        <is>
          <t>PASS</t>
        </is>
      </c>
    </row>
    <row r="7">
      <c r="A7" s="74" t="inlineStr">
        <is>
          <t>2vnl_A</t>
        </is>
      </c>
      <c r="B7" s="74" t="n">
        <v>3</v>
      </c>
      <c r="C7" s="74" t="n">
        <v>0.858</v>
      </c>
      <c r="D7" s="74" t="n">
        <v>0.638</v>
      </c>
      <c r="E7" s="74" t="n">
        <v>0.22</v>
      </c>
      <c r="F7" s="75" t="inlineStr">
        <is>
          <t>PASS</t>
        </is>
      </c>
      <c r="G7" s="75" t="inlineStr">
        <is>
          <t>PASS</t>
        </is>
      </c>
    </row>
    <row r="8">
      <c r="A8" s="74" t="inlineStr">
        <is>
          <t>3bpj_B</t>
        </is>
      </c>
      <c r="B8" s="74" t="n">
        <v>3</v>
      </c>
      <c r="C8" s="74" t="n">
        <v>0.851</v>
      </c>
      <c r="D8" s="74" t="n">
        <v>0.588</v>
      </c>
      <c r="E8" s="74" t="n">
        <v>0.263</v>
      </c>
      <c r="F8" s="75" t="inlineStr">
        <is>
          <t>PASS</t>
        </is>
      </c>
      <c r="G8" s="75" t="inlineStr">
        <is>
          <t>PASS</t>
        </is>
      </c>
    </row>
    <row r="9">
      <c r="A9" s="74" t="inlineStr">
        <is>
          <t>3dso_A</t>
        </is>
      </c>
      <c r="B9" s="74" t="n">
        <v>3</v>
      </c>
      <c r="C9" s="74" t="n">
        <v>0.843</v>
      </c>
      <c r="D9" s="74" t="n">
        <v>0.505</v>
      </c>
      <c r="E9" s="74" t="n">
        <v>0.338</v>
      </c>
      <c r="F9" s="75" t="inlineStr">
        <is>
          <t>PASS</t>
        </is>
      </c>
      <c r="G9" s="75" t="inlineStr">
        <is>
          <t>PASS</t>
        </is>
      </c>
    </row>
    <row r="10">
      <c r="A10" s="74" t="inlineStr">
        <is>
          <t>2hnu_A</t>
        </is>
      </c>
      <c r="B10" s="74" t="n">
        <v>3</v>
      </c>
      <c r="C10" s="74" t="n">
        <v>0.84</v>
      </c>
      <c r="D10" s="74" t="n">
        <v>0.617</v>
      </c>
      <c r="E10" s="74" t="n">
        <v>0.223</v>
      </c>
      <c r="F10" s="75" t="inlineStr">
        <is>
          <t>PASS</t>
        </is>
      </c>
      <c r="G10" s="75" t="inlineStr">
        <is>
          <t>PASS</t>
        </is>
      </c>
    </row>
    <row r="11">
      <c r="A11" s="74" t="inlineStr">
        <is>
          <t>4xo1_A</t>
        </is>
      </c>
      <c r="B11" s="74" t="n">
        <v>3</v>
      </c>
      <c r="C11" s="74" t="n">
        <v>0.834</v>
      </c>
      <c r="D11" s="74" t="n">
        <v>0.581</v>
      </c>
      <c r="E11" s="74" t="n">
        <v>0.253</v>
      </c>
      <c r="F11" s="75" t="inlineStr">
        <is>
          <t>PASS</t>
        </is>
      </c>
      <c r="G11" s="75" t="inlineStr">
        <is>
          <t>PASS</t>
        </is>
      </c>
    </row>
    <row r="12">
      <c r="A12" s="74" t="inlineStr">
        <is>
          <t>4v1g_B</t>
        </is>
      </c>
      <c r="B12" s="74" t="n">
        <v>3</v>
      </c>
      <c r="C12" s="74" t="n">
        <v>0.831</v>
      </c>
      <c r="D12" s="74" t="n">
        <v>0.555</v>
      </c>
      <c r="E12" s="74" t="n">
        <v>0.277</v>
      </c>
      <c r="F12" s="75" t="inlineStr">
        <is>
          <t>PASS</t>
        </is>
      </c>
      <c r="G12" s="75" t="inlineStr">
        <is>
          <t>PASS</t>
        </is>
      </c>
    </row>
    <row r="13">
      <c r="A13" s="74" t="inlineStr">
        <is>
          <t>5cyz_C</t>
        </is>
      </c>
      <c r="B13" s="74" t="n">
        <v>3</v>
      </c>
      <c r="C13" s="74" t="n">
        <v>0.822</v>
      </c>
      <c r="D13" s="74" t="n">
        <v>0.648</v>
      </c>
      <c r="E13" s="74" t="n">
        <v>0.174</v>
      </c>
      <c r="F13" s="75" t="inlineStr">
        <is>
          <t>PASS</t>
        </is>
      </c>
      <c r="G13" s="75" t="inlineStr">
        <is>
          <t>PASS</t>
        </is>
      </c>
    </row>
    <row r="14">
      <c r="A14" s="74" t="inlineStr">
        <is>
          <t>3bzl_D</t>
        </is>
      </c>
      <c r="B14" s="74" t="n">
        <v>3</v>
      </c>
      <c r="C14" s="74" t="n">
        <v>0.82</v>
      </c>
      <c r="D14" s="74" t="n">
        <v>0.547</v>
      </c>
      <c r="E14" s="74" t="n">
        <v>0.273</v>
      </c>
      <c r="F14" s="75" t="inlineStr">
        <is>
          <t>PASS</t>
        </is>
      </c>
      <c r="G14" s="75" t="inlineStr">
        <is>
          <t>PASS</t>
        </is>
      </c>
    </row>
    <row r="15">
      <c r="A15" s="74" t="inlineStr">
        <is>
          <t>3rmq_A</t>
        </is>
      </c>
      <c r="B15" s="74" t="n">
        <v>3</v>
      </c>
      <c r="C15" s="74" t="n">
        <v>0.8179999999999999</v>
      </c>
      <c r="D15" s="74" t="n">
        <v>0.681</v>
      </c>
      <c r="E15" s="74" t="n">
        <v>0.137</v>
      </c>
      <c r="F15" s="75" t="inlineStr">
        <is>
          <t>PASS</t>
        </is>
      </c>
      <c r="G15" s="75" t="inlineStr">
        <is>
          <t>PASS</t>
        </is>
      </c>
    </row>
    <row r="16">
      <c r="A16" s="74" t="inlineStr">
        <is>
          <t>5z42_A</t>
        </is>
      </c>
      <c r="B16" s="74" t="n">
        <v>3</v>
      </c>
      <c r="C16" s="74" t="n">
        <v>0.8159999999999999</v>
      </c>
      <c r="D16" s="74" t="n">
        <v>0.674</v>
      </c>
      <c r="E16" s="74" t="n">
        <v>0.142</v>
      </c>
      <c r="F16" s="75" t="inlineStr">
        <is>
          <t>PASS</t>
        </is>
      </c>
      <c r="G16" s="75" t="inlineStr">
        <is>
          <t>PASS</t>
        </is>
      </c>
    </row>
    <row r="17">
      <c r="A17" s="74" t="inlineStr">
        <is>
          <t>3ig9_C</t>
        </is>
      </c>
      <c r="B17" s="74" t="n">
        <v>3</v>
      </c>
      <c r="C17" s="74" t="n">
        <v>0.802</v>
      </c>
      <c r="D17" s="74" t="n">
        <v>0.589</v>
      </c>
      <c r="E17" s="74" t="n">
        <v>0.214</v>
      </c>
      <c r="F17" s="75" t="inlineStr">
        <is>
          <t>PASS</t>
        </is>
      </c>
      <c r="G17" s="75" t="inlineStr">
        <is>
          <t>PASS</t>
        </is>
      </c>
    </row>
    <row r="18">
      <c r="A18" s="74" t="inlineStr">
        <is>
          <t>6c62_C</t>
        </is>
      </c>
      <c r="B18" s="74" t="n">
        <v>3</v>
      </c>
      <c r="C18" s="74" t="n">
        <v>0.802</v>
      </c>
      <c r="D18" s="74" t="n">
        <v>0.621</v>
      </c>
      <c r="E18" s="74" t="n">
        <v>0.18</v>
      </c>
      <c r="F18" s="75" t="inlineStr">
        <is>
          <t>PASS</t>
        </is>
      </c>
      <c r="G18" s="75" t="inlineStr">
        <is>
          <t>PASS</t>
        </is>
      </c>
    </row>
    <row r="19">
      <c r="A19" s="74" t="inlineStr">
        <is>
          <t>6l4p_B</t>
        </is>
      </c>
      <c r="B19" s="74" t="n">
        <v>3</v>
      </c>
      <c r="C19" s="74" t="n">
        <v>0.799</v>
      </c>
      <c r="D19" s="74" t="n">
        <v>0.6870000000000001</v>
      </c>
      <c r="E19" s="74" t="n">
        <v>0.112</v>
      </c>
      <c r="F19" s="75" t="inlineStr">
        <is>
          <t>PASS</t>
        </is>
      </c>
      <c r="G19" s="75" t="inlineStr">
        <is>
          <t>PASS</t>
        </is>
      </c>
    </row>
    <row r="20">
      <c r="A20" s="74" t="inlineStr">
        <is>
          <t>4jgi_A</t>
        </is>
      </c>
      <c r="B20" s="74" t="n">
        <v>3</v>
      </c>
      <c r="C20" s="74" t="n">
        <v>0.796</v>
      </c>
      <c r="D20" s="74" t="n">
        <v>0.604</v>
      </c>
      <c r="E20" s="74" t="n">
        <v>0.192</v>
      </c>
      <c r="F20" s="75" t="inlineStr">
        <is>
          <t>PASS</t>
        </is>
      </c>
      <c r="G20" s="75" t="inlineStr">
        <is>
          <t>PASS</t>
        </is>
      </c>
    </row>
    <row r="21">
      <c r="A21" s="74" t="inlineStr">
        <is>
          <t>5xct_B</t>
        </is>
      </c>
      <c r="B21" s="74" t="n">
        <v>3</v>
      </c>
      <c r="C21" s="74" t="n">
        <v>0.792</v>
      </c>
      <c r="D21" s="74" t="n">
        <v>0.661</v>
      </c>
      <c r="E21" s="74" t="n">
        <v>0.132</v>
      </c>
      <c r="F21" s="75" t="inlineStr">
        <is>
          <t>PASS</t>
        </is>
      </c>
      <c r="G21" s="75" t="inlineStr">
        <is>
          <t>PASS</t>
        </is>
      </c>
    </row>
    <row r="22">
      <c r="A22" s="74" t="inlineStr">
        <is>
          <t>6ypi_A</t>
        </is>
      </c>
      <c r="B22" s="74" t="n">
        <v>3</v>
      </c>
      <c r="C22" s="74" t="n">
        <v>0.774</v>
      </c>
      <c r="D22" s="74" t="n">
        <v>0.657</v>
      </c>
      <c r="E22" s="74" t="n">
        <v>0.117</v>
      </c>
      <c r="F22" s="75" t="inlineStr">
        <is>
          <t>PASS</t>
        </is>
      </c>
      <c r="G22" s="75" t="inlineStr">
        <is>
          <t>PASS</t>
        </is>
      </c>
    </row>
    <row r="23">
      <c r="A23" s="74" t="inlineStr">
        <is>
          <t>4zya_A</t>
        </is>
      </c>
      <c r="B23" s="74" t="n">
        <v>3</v>
      </c>
      <c r="C23" s="74" t="n">
        <v>0.754</v>
      </c>
      <c r="D23" s="74" t="n">
        <v>0.668</v>
      </c>
      <c r="E23" s="74" t="n">
        <v>0.08599999999999999</v>
      </c>
      <c r="F23" s="75" t="inlineStr">
        <is>
          <t>PASS</t>
        </is>
      </c>
      <c r="G23" s="75" t="inlineStr">
        <is>
          <t>PASS</t>
        </is>
      </c>
    </row>
    <row r="24">
      <c r="A24" s="74" t="inlineStr">
        <is>
          <t>1upt_D</t>
        </is>
      </c>
      <c r="B24" s="74" t="n">
        <v>3</v>
      </c>
      <c r="C24" s="74" t="n">
        <v>0.745</v>
      </c>
      <c r="D24" s="74" t="n">
        <v>0.647</v>
      </c>
      <c r="E24" s="74" t="n">
        <v>0.098</v>
      </c>
      <c r="F24" s="74" t="inlineStr">
        <is>
          <t>below bar</t>
        </is>
      </c>
      <c r="G24" s="75" t="inlineStr">
        <is>
          <t>PASS</t>
        </is>
      </c>
    </row>
    <row r="25">
      <c r="A25" s="74" t="inlineStr">
        <is>
          <t>1ois_A</t>
        </is>
      </c>
      <c r="B25" s="74" t="n">
        <v>3</v>
      </c>
      <c r="C25" s="74" t="n">
        <v>0.732</v>
      </c>
      <c r="D25" s="74" t="n">
        <v>0.653</v>
      </c>
      <c r="E25" s="74" t="n">
        <v>0.079</v>
      </c>
      <c r="F25" s="74" t="inlineStr">
        <is>
          <t>below bar</t>
        </is>
      </c>
      <c r="G25" s="75" t="inlineStr">
        <is>
          <t>PASS</t>
        </is>
      </c>
    </row>
    <row r="26">
      <c r="A26" s="74" t="inlineStr">
        <is>
          <t>4eo1_A</t>
        </is>
      </c>
      <c r="B26" s="74" t="n">
        <v>3</v>
      </c>
      <c r="C26" s="74" t="n">
        <v>0.719</v>
      </c>
      <c r="D26" s="74" t="n">
        <v>0.589</v>
      </c>
      <c r="E26" s="74" t="n">
        <v>0.13</v>
      </c>
      <c r="F26" s="74" t="inlineStr">
        <is>
          <t>below bar</t>
        </is>
      </c>
      <c r="G26" s="75" t="inlineStr">
        <is>
          <t>PASS</t>
        </is>
      </c>
    </row>
    <row r="27">
      <c r="A27" s="74" t="inlineStr">
        <is>
          <t>1g2r_A</t>
        </is>
      </c>
      <c r="B27" s="74" t="n">
        <v>3</v>
      </c>
      <c r="C27" s="74" t="n">
        <v>0.71</v>
      </c>
      <c r="D27" s="74" t="n">
        <v>0.667</v>
      </c>
      <c r="E27" s="74" t="n">
        <v>0.043</v>
      </c>
      <c r="F27" s="74" t="inlineStr">
        <is>
          <t>below bar</t>
        </is>
      </c>
      <c r="G27" s="75" t="inlineStr">
        <is>
          <t>PASS</t>
        </is>
      </c>
    </row>
    <row r="28">
      <c r="A28" s="74" t="inlineStr">
        <is>
          <t>6kty_A</t>
        </is>
      </c>
      <c r="B28" s="74" t="n">
        <v>3</v>
      </c>
      <c r="C28" s="74" t="n">
        <v>0.668</v>
      </c>
      <c r="D28" s="74" t="n">
        <v>0.625</v>
      </c>
      <c r="E28" s="74" t="n">
        <v>0.043</v>
      </c>
      <c r="F28" s="74" t="inlineStr">
        <is>
          <t>below bar</t>
        </is>
      </c>
      <c r="G28" s="75" t="inlineStr">
        <is>
          <t>PASS</t>
        </is>
      </c>
    </row>
    <row r="30">
      <c r="A30" s="74" t="inlineStr">
        <is>
          <t>CRITERION</t>
        </is>
      </c>
      <c r="B30" s="74" t="inlineStr"/>
      <c r="C30" s="74" t="inlineStr">
        <is>
          <t>requirement</t>
        </is>
      </c>
      <c r="D30" s="74" t="inlineStr">
        <is>
          <t>result</t>
        </is>
      </c>
      <c r="E30" s="74" t="inlineStr"/>
      <c r="F30" s="74" t="inlineStr">
        <is>
          <t>verdict</t>
        </is>
      </c>
      <c r="G30" s="74" t="inlineStr"/>
    </row>
    <row r="31">
      <c r="A31" s="74" t="inlineStr">
        <is>
          <t>C1</t>
        </is>
      </c>
      <c r="B31" s="74" t="inlineStr"/>
      <c r="C31" s="74" t="inlineStr">
        <is>
          <t>median surprise &gt;= 0.75</t>
        </is>
      </c>
      <c r="D31" s="74" t="n">
        <v>0.8159999999999999</v>
      </c>
      <c r="E31" s="74" t="inlineStr"/>
      <c r="F31" s="75" t="inlineStr">
        <is>
          <t>PASS</t>
        </is>
      </c>
      <c r="G31" s="74" t="inlineStr"/>
    </row>
    <row r="32">
      <c r="A32" s="74" t="inlineStr">
        <is>
          <t>C2</t>
        </is>
      </c>
      <c r="B32" s="74" t="inlineStr"/>
      <c r="C32" s="74" t="inlineStr">
        <is>
          <t>beats best blind on &gt;=80%</t>
        </is>
      </c>
      <c r="D32" s="74" t="n">
        <v>1</v>
      </c>
      <c r="E32" s="74" t="inlineStr"/>
      <c r="F32" s="75" t="inlineStr">
        <is>
          <t>PASS</t>
        </is>
      </c>
      <c r="G32" s="74" t="inlineStr"/>
    </row>
    <row r="33">
      <c r="A33" s="74" t="inlineStr">
        <is>
          <t>C3</t>
        </is>
      </c>
      <c r="B33" s="74" t="inlineStr"/>
      <c r="C33" s="74" t="inlineStr">
        <is>
          <t>blind medians in 0.40-0.60</t>
        </is>
      </c>
      <c r="D33" s="74" t="inlineStr">
        <is>
          <t>max 0.595</t>
        </is>
      </c>
      <c r="E33" s="74" t="inlineStr"/>
      <c r="F33" s="75" t="inlineStr">
        <is>
          <t>PASS</t>
        </is>
      </c>
      <c r="G33" s="74" t="inlineStr"/>
    </row>
    <row r="34">
      <c r="A34" s="74" t="inlineStr">
        <is>
          <t>C4</t>
        </is>
      </c>
      <c r="B34" s="74" t="inlineStr"/>
      <c r="C34" s="74" t="inlineStr">
        <is>
          <t>Wilcoxon p &lt; 0.05</t>
        </is>
      </c>
      <c r="D34" s="74" t="inlineStr">
        <is>
          <t>2.98e-08</t>
        </is>
      </c>
      <c r="E34" s="74" t="inlineStr"/>
      <c r="F34" s="75" t="inlineStr">
        <is>
          <t>PASS</t>
        </is>
      </c>
      <c r="G34" s="74" t="inlineStr"/>
    </row>
    <row r="35">
      <c r="A35" s="74" t="inlineStr">
        <is>
          <t>C5</t>
        </is>
      </c>
      <c r="B35" s="74" t="inlineStr"/>
      <c r="C35" s="74" t="inlineStr">
        <is>
          <t>null control in 0.40-0.60</t>
        </is>
      </c>
      <c r="D35" s="74" t="inlineStr">
        <is>
          <t>0.478-0.518</t>
        </is>
      </c>
      <c r="E35" s="74" t="inlineStr"/>
      <c r="F35" s="75" t="inlineStr">
        <is>
          <t>PASS</t>
        </is>
      </c>
      <c r="G35" s="74"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6" customWidth="1" style="36" min="1" max="1"/>
    <col width="10" customWidth="1" style="36" min="2" max="2"/>
    <col width="11" customWidth="1" style="36" min="3" max="3"/>
    <col width="11" customWidth="1" style="36" min="4" max="4"/>
    <col width="17" customWidth="1" style="36" min="5" max="5"/>
    <col width="12" customWidth="1" style="36" min="6" max="6"/>
    <col width="9" customWidth="1" style="36" min="7" max="7"/>
    <col width="12" customWidth="1" style="36" min="8" max="8"/>
    <col width="17" customWidth="1" style="36" min="9" max="9"/>
    <col width="12" customWidth="1" style="36" min="10" max="10"/>
  </cols>
  <sheetData>
    <row r="1">
      <c r="A1" s="71" t="inlineStr">
        <is>
          <t>Phase 4 — residue attribution vs external functional sites (NEGATIVE)</t>
        </is>
      </c>
    </row>
    <row r="2">
      <c r="A2" s="72" t="inlineStr">
        <is>
          <t>Ground truth: residue within 4.5 A of ligand/ion/nucleic/partner chain in the DEPOSITED structure; waters and cryoprotectants excluded. ATLAS simulates the apo chain, so the label cannot leak into the score. Validity gate: &gt;=5 positives, &gt;=5 negatives, prevalence 5-80%.</t>
        </is>
      </c>
    </row>
    <row r="3">
      <c r="A3" s="73" t="inlineStr">
        <is>
          <t>Protein</t>
        </is>
      </c>
      <c r="B3" s="73" t="inlineStr">
        <is>
          <t>Residues</t>
        </is>
      </c>
      <c r="C3" s="73" t="inlineStr">
        <is>
          <t>Functional</t>
        </is>
      </c>
      <c r="D3" s="73" t="inlineStr">
        <is>
          <t>Prevalence</t>
        </is>
      </c>
      <c r="E3" s="73" t="inlineStr">
        <is>
          <t>Attribution AUROC</t>
        </is>
      </c>
      <c r="F3" s="73" t="inlineStr">
        <is>
          <t>RMSF AUROC</t>
        </is>
      </c>
      <c r="G3" s="73" t="inlineStr">
        <is>
          <t>Delta</t>
        </is>
      </c>
      <c r="H3" s="73" t="inlineStr">
        <is>
          <t>Shuffled null</t>
        </is>
      </c>
      <c r="I3" s="73" t="inlineStr">
        <is>
          <t>Ligand-only AUROC</t>
        </is>
      </c>
      <c r="J3" s="73" t="inlineStr">
        <is>
          <t>Beats RMSF</t>
        </is>
      </c>
    </row>
    <row r="4">
      <c r="A4" s="74" t="inlineStr">
        <is>
          <t>3bpj_B</t>
        </is>
      </c>
      <c r="B4" s="74" t="n">
        <v>71</v>
      </c>
      <c r="C4" s="74" t="n">
        <v>55</v>
      </c>
      <c r="D4" s="74" t="n">
        <v>0.775</v>
      </c>
      <c r="E4" s="74" t="n">
        <v>0.748</v>
      </c>
      <c r="F4" s="74" t="n">
        <v>0.516</v>
      </c>
      <c r="G4" s="74" t="n">
        <v>0.232</v>
      </c>
      <c r="H4" s="74" t="n">
        <v>0.498</v>
      </c>
      <c r="I4" s="74" t="n">
        <v>0.798</v>
      </c>
      <c r="J4" s="75" t="inlineStr">
        <is>
          <t>PASS</t>
        </is>
      </c>
    </row>
    <row r="5">
      <c r="A5" s="74" t="inlineStr">
        <is>
          <t>4jgi_A</t>
        </is>
      </c>
      <c r="B5" s="74" t="n">
        <v>205</v>
      </c>
      <c r="C5" s="74" t="n">
        <v>36</v>
      </c>
      <c r="D5" s="74" t="n">
        <v>0.176</v>
      </c>
      <c r="E5" s="74" t="n">
        <v>0.719</v>
      </c>
      <c r="F5" s="74" t="n">
        <v>0.427</v>
      </c>
      <c r="G5" s="74" t="n">
        <v>0.292</v>
      </c>
      <c r="H5" s="74" t="n">
        <v>0.501</v>
      </c>
      <c r="I5" s="74" t="n">
        <v>0.795</v>
      </c>
      <c r="J5" s="75" t="inlineStr">
        <is>
          <t>PASS</t>
        </is>
      </c>
    </row>
    <row r="6">
      <c r="A6" s="74" t="inlineStr">
        <is>
          <t>2hnu_A</t>
        </is>
      </c>
      <c r="B6" s="74" t="n">
        <v>81</v>
      </c>
      <c r="C6" s="74" t="n">
        <v>32</v>
      </c>
      <c r="D6" s="74" t="n">
        <v>0.395</v>
      </c>
      <c r="E6" s="74" t="n">
        <v>0.67</v>
      </c>
      <c r="F6" s="74" t="n">
        <v>0.582</v>
      </c>
      <c r="G6" s="74" t="n">
        <v>0.08799999999999999</v>
      </c>
      <c r="H6" s="74" t="n">
        <v>0.504</v>
      </c>
      <c r="I6" s="74" t="n">
        <v>0.642</v>
      </c>
      <c r="J6" s="75" t="inlineStr">
        <is>
          <t>PASS</t>
        </is>
      </c>
    </row>
    <row r="7">
      <c r="A7" s="74" t="inlineStr">
        <is>
          <t>3bzl_D</t>
        </is>
      </c>
      <c r="B7" s="74" t="n">
        <v>82</v>
      </c>
      <c r="C7" s="74" t="n">
        <v>42</v>
      </c>
      <c r="D7" s="74" t="n">
        <v>0.512</v>
      </c>
      <c r="E7" s="74" t="n">
        <v>0.647</v>
      </c>
      <c r="F7" s="74" t="n">
        <v>0.614</v>
      </c>
      <c r="G7" s="74" t="n">
        <v>0.033</v>
      </c>
      <c r="H7" s="74" t="n">
        <v>0.495</v>
      </c>
      <c r="I7" s="74" t="inlineStr"/>
      <c r="J7" s="75" t="inlineStr">
        <is>
          <t>PASS</t>
        </is>
      </c>
    </row>
    <row r="8">
      <c r="A8" s="74" t="inlineStr">
        <is>
          <t>3ig9_C</t>
        </is>
      </c>
      <c r="B8" s="74" t="n">
        <v>75</v>
      </c>
      <c r="C8" s="74" t="n">
        <v>14</v>
      </c>
      <c r="D8" s="74" t="n">
        <v>0.187</v>
      </c>
      <c r="E8" s="74" t="n">
        <v>0.619</v>
      </c>
      <c r="F8" s="74" t="n">
        <v>0.639</v>
      </c>
      <c r="G8" s="74" t="n">
        <v>-0.02</v>
      </c>
      <c r="H8" s="74" t="n">
        <v>0.508</v>
      </c>
      <c r="I8" s="74" t="n">
        <v>0.666</v>
      </c>
      <c r="J8" s="76" t="inlineStr">
        <is>
          <t>FAIL</t>
        </is>
      </c>
    </row>
    <row r="9">
      <c r="A9" s="74" t="inlineStr">
        <is>
          <t>6c62_C</t>
        </is>
      </c>
      <c r="B9" s="74" t="n">
        <v>66</v>
      </c>
      <c r="C9" s="74" t="n">
        <v>36</v>
      </c>
      <c r="D9" s="74" t="n">
        <v>0.545</v>
      </c>
      <c r="E9" s="74" t="n">
        <v>0.601</v>
      </c>
      <c r="F9" s="74" t="n">
        <v>0.462</v>
      </c>
      <c r="G9" s="74" t="n">
        <v>0.139</v>
      </c>
      <c r="H9" s="74" t="n">
        <v>0.443</v>
      </c>
      <c r="I9" s="74" t="inlineStr"/>
      <c r="J9" s="75" t="inlineStr">
        <is>
          <t>PASS</t>
        </is>
      </c>
    </row>
    <row r="10">
      <c r="A10" s="74" t="inlineStr">
        <is>
          <t>2ad6_D</t>
        </is>
      </c>
      <c r="B10" s="74" t="n">
        <v>69</v>
      </c>
      <c r="C10" s="74" t="n">
        <v>34</v>
      </c>
      <c r="D10" s="74" t="n">
        <v>0.493</v>
      </c>
      <c r="E10" s="74" t="n">
        <v>0.582</v>
      </c>
      <c r="F10" s="74" t="n">
        <v>0.449</v>
      </c>
      <c r="G10" s="74" t="n">
        <v>0.133</v>
      </c>
      <c r="H10" s="74" t="n">
        <v>0.464</v>
      </c>
      <c r="I10" s="74" t="inlineStr"/>
      <c r="J10" s="75" t="inlineStr">
        <is>
          <t>PASS</t>
        </is>
      </c>
    </row>
    <row r="11">
      <c r="A11" s="74" t="inlineStr">
        <is>
          <t>4zya_A</t>
        </is>
      </c>
      <c r="B11" s="74" t="n">
        <v>65</v>
      </c>
      <c r="C11" s="74" t="n">
        <v>28</v>
      </c>
      <c r="D11" s="74" t="n">
        <v>0.431</v>
      </c>
      <c r="E11" s="74" t="n">
        <v>0.556</v>
      </c>
      <c r="F11" s="74" t="n">
        <v>0.722</v>
      </c>
      <c r="G11" s="74" t="n">
        <v>-0.166</v>
      </c>
      <c r="H11" s="74" t="n">
        <v>0.483</v>
      </c>
      <c r="I11" s="74" t="n">
        <v>0.574</v>
      </c>
      <c r="J11" s="76" t="inlineStr">
        <is>
          <t>FAIL</t>
        </is>
      </c>
    </row>
    <row r="12">
      <c r="A12" s="74" t="inlineStr">
        <is>
          <t>4xo1_A</t>
        </is>
      </c>
      <c r="B12" s="74" t="n">
        <v>55</v>
      </c>
      <c r="C12" s="74" t="n">
        <v>30</v>
      </c>
      <c r="D12" s="74" t="n">
        <v>0.545</v>
      </c>
      <c r="E12" s="74" t="n">
        <v>0.555</v>
      </c>
      <c r="F12" s="74" t="n">
        <v>0.445</v>
      </c>
      <c r="G12" s="74" t="n">
        <v>0.11</v>
      </c>
      <c r="H12" s="74" t="n">
        <v>0.524</v>
      </c>
      <c r="I12" s="74" t="n">
        <v>0.555</v>
      </c>
      <c r="J12" s="75" t="inlineStr">
        <is>
          <t>PASS</t>
        </is>
      </c>
    </row>
    <row r="13">
      <c r="A13" s="74" t="inlineStr">
        <is>
          <t>3rmq_A</t>
        </is>
      </c>
      <c r="B13" s="74" t="n">
        <v>70</v>
      </c>
      <c r="C13" s="74" t="n">
        <v>14</v>
      </c>
      <c r="D13" s="74" t="n">
        <v>0.2</v>
      </c>
      <c r="E13" s="74" t="n">
        <v>0.55</v>
      </c>
      <c r="F13" s="74" t="n">
        <v>0.411</v>
      </c>
      <c r="G13" s="74" t="n">
        <v>0.139</v>
      </c>
      <c r="H13" s="74" t="n">
        <v>0.506</v>
      </c>
      <c r="I13" s="74" t="n">
        <v>0.55</v>
      </c>
      <c r="J13" s="75" t="inlineStr">
        <is>
          <t>PASS</t>
        </is>
      </c>
    </row>
    <row r="14">
      <c r="A14" s="74" t="inlineStr">
        <is>
          <t>2w56_A</t>
        </is>
      </c>
      <c r="B14" s="74" t="n">
        <v>143</v>
      </c>
      <c r="C14" s="74" t="n">
        <v>15</v>
      </c>
      <c r="D14" s="74" t="n">
        <v>0.105</v>
      </c>
      <c r="E14" s="74" t="n">
        <v>0.526</v>
      </c>
      <c r="F14" s="74" t="n">
        <v>0.452</v>
      </c>
      <c r="G14" s="74" t="n">
        <v>0.074</v>
      </c>
      <c r="H14" s="74" t="n">
        <v>0.418</v>
      </c>
      <c r="I14" s="74" t="inlineStr"/>
      <c r="J14" s="75" t="inlineStr">
        <is>
          <t>PASS</t>
        </is>
      </c>
    </row>
    <row r="15">
      <c r="A15" s="74" t="inlineStr">
        <is>
          <t>1j5u_A</t>
        </is>
      </c>
      <c r="B15" s="74" t="n">
        <v>85</v>
      </c>
      <c r="C15" s="74" t="n">
        <v>8</v>
      </c>
      <c r="D15" s="74" t="n">
        <v>0.094</v>
      </c>
      <c r="E15" s="74" t="n">
        <v>0.428</v>
      </c>
      <c r="F15" s="74" t="n">
        <v>0.75</v>
      </c>
      <c r="G15" s="74" t="n">
        <v>-0.322</v>
      </c>
      <c r="H15" s="74" t="n">
        <v>0.497</v>
      </c>
      <c r="I15" s="74" t="n">
        <v>0.428</v>
      </c>
      <c r="J15" s="76" t="inlineStr">
        <is>
          <t>FAIL</t>
        </is>
      </c>
    </row>
    <row r="16">
      <c r="A16" s="74" t="inlineStr">
        <is>
          <t>5xct_B</t>
        </is>
      </c>
      <c r="B16" s="74" t="n">
        <v>161</v>
      </c>
      <c r="C16" s="74" t="n">
        <v>58</v>
      </c>
      <c r="D16" s="74" t="n">
        <v>0.36</v>
      </c>
      <c r="E16" s="74" t="n">
        <v>0.405</v>
      </c>
      <c r="F16" s="74" t="n">
        <v>0.711</v>
      </c>
      <c r="G16" s="74" t="n">
        <v>-0.306</v>
      </c>
      <c r="H16" s="74" t="n">
        <v>0.546</v>
      </c>
      <c r="I16" s="74" t="inlineStr"/>
      <c r="J16" s="76" t="inlineStr">
        <is>
          <t>FAIL</t>
        </is>
      </c>
    </row>
    <row r="17">
      <c r="A17" s="74" t="inlineStr">
        <is>
          <t>5z42_A</t>
        </is>
      </c>
      <c r="B17" s="74" t="n">
        <v>102</v>
      </c>
      <c r="C17" s="74" t="n">
        <v>16</v>
      </c>
      <c r="D17" s="74" t="n">
        <v>0.157</v>
      </c>
      <c r="E17" s="74" t="n">
        <v>0.398</v>
      </c>
      <c r="F17" s="74" t="n">
        <v>0.556</v>
      </c>
      <c r="G17" s="74" t="n">
        <v>-0.158</v>
      </c>
      <c r="H17" s="74" t="n">
        <v>0.569</v>
      </c>
      <c r="I17" s="74" t="n">
        <v>0.398</v>
      </c>
      <c r="J17" s="76" t="inlineStr">
        <is>
          <t>FAIL</t>
        </is>
      </c>
    </row>
    <row r="18">
      <c r="A18" s="74" t="inlineStr">
        <is>
          <t>6l4p_B</t>
        </is>
      </c>
      <c r="B18" s="74" t="n">
        <v>138</v>
      </c>
      <c r="C18" s="74" t="n">
        <v>23</v>
      </c>
      <c r="D18" s="74" t="n">
        <v>0.167</v>
      </c>
      <c r="E18" s="74" t="n">
        <v>0.385</v>
      </c>
      <c r="F18" s="74" t="n">
        <v>0.581</v>
      </c>
      <c r="G18" s="74" t="n">
        <v>-0.196</v>
      </c>
      <c r="H18" s="74" t="n">
        <v>0.491</v>
      </c>
      <c r="I18" s="74" t="inlineStr"/>
      <c r="J18" s="76" t="inlineStr">
        <is>
          <t>FAIL</t>
        </is>
      </c>
    </row>
    <row r="19">
      <c r="A19" s="74" t="inlineStr">
        <is>
          <t>5cyz_C</t>
        </is>
      </c>
      <c r="B19" s="74" t="n">
        <v>58</v>
      </c>
      <c r="C19" s="74" t="n">
        <v>36</v>
      </c>
      <c r="D19" s="74" t="n">
        <v>0.621</v>
      </c>
      <c r="E19" s="74" t="n">
        <v>0.34</v>
      </c>
      <c r="F19" s="74" t="n">
        <v>0.304</v>
      </c>
      <c r="G19" s="74" t="n">
        <v>0.036</v>
      </c>
      <c r="H19" s="74" t="n">
        <v>0.503</v>
      </c>
      <c r="I19" s="74" t="n">
        <v>0.374</v>
      </c>
      <c r="J19" s="75" t="inlineStr">
        <is>
          <t>PASS</t>
        </is>
      </c>
    </row>
    <row r="21">
      <c r="A21" s="74" t="inlineStr">
        <is>
          <t>CRITERION</t>
        </is>
      </c>
      <c r="B21" s="74" t="inlineStr"/>
      <c r="C21" s="74" t="inlineStr"/>
      <c r="D21" s="74" t="inlineStr">
        <is>
          <t>requirement</t>
        </is>
      </c>
      <c r="E21" s="74" t="inlineStr">
        <is>
          <t>result</t>
        </is>
      </c>
      <c r="F21" s="74" t="inlineStr"/>
      <c r="G21" s="74" t="inlineStr"/>
      <c r="H21" s="74" t="inlineStr"/>
      <c r="I21" s="74" t="inlineStr"/>
      <c r="J21" s="74" t="inlineStr">
        <is>
          <t>verdict</t>
        </is>
      </c>
    </row>
    <row r="22">
      <c r="A22" s="74" t="inlineStr">
        <is>
          <t>F1</t>
        </is>
      </c>
      <c r="B22" s="74" t="inlineStr"/>
      <c r="C22" s="74" t="inlineStr"/>
      <c r="D22" s="74" t="inlineStr">
        <is>
          <t>median AUROC &gt;= 0.65</t>
        </is>
      </c>
      <c r="E22" s="74" t="n">
        <v>0.556</v>
      </c>
      <c r="F22" s="74" t="inlineStr"/>
      <c r="G22" s="74" t="inlineStr"/>
      <c r="H22" s="74" t="inlineStr"/>
      <c r="I22" s="74" t="inlineStr"/>
      <c r="J22" s="76" t="inlineStr">
        <is>
          <t>FAIL</t>
        </is>
      </c>
    </row>
    <row r="23">
      <c r="A23" s="74" t="inlineStr">
        <is>
          <t>F2</t>
        </is>
      </c>
      <c r="B23" s="74" t="inlineStr"/>
      <c r="C23" s="74" t="inlineStr"/>
      <c r="D23" s="74" t="inlineStr">
        <is>
          <t>beats RMSF on &gt;= 70%</t>
        </is>
      </c>
      <c r="E23" s="74" t="n">
        <v>0.625</v>
      </c>
      <c r="F23" s="74" t="inlineStr"/>
      <c r="G23" s="74" t="inlineStr"/>
      <c r="H23" s="74" t="inlineStr"/>
      <c r="I23" s="74" t="inlineStr"/>
      <c r="J23" s="76" t="inlineStr">
        <is>
          <t>FAIL</t>
        </is>
      </c>
    </row>
    <row r="24">
      <c r="A24" s="74" t="inlineStr">
        <is>
          <t>F3</t>
        </is>
      </c>
      <c r="B24" s="74" t="inlineStr"/>
      <c r="C24" s="74" t="inlineStr"/>
      <c r="D24" s="74" t="inlineStr">
        <is>
          <t>shuffled null 0.45-0.55</t>
        </is>
      </c>
      <c r="E24" s="74" t="n">
        <v>0.499</v>
      </c>
      <c r="F24" s="74" t="inlineStr"/>
      <c r="G24" s="74" t="inlineStr"/>
      <c r="H24" s="74" t="inlineStr"/>
      <c r="I24" s="74" t="inlineStr"/>
      <c r="J24" s="75" t="inlineStr">
        <is>
          <t>PASS</t>
        </is>
      </c>
    </row>
    <row r="25">
      <c r="A25" s="74" t="inlineStr">
        <is>
          <t>F4</t>
        </is>
      </c>
      <c r="B25" s="74" t="inlineStr"/>
      <c r="C25" s="74" t="inlineStr"/>
      <c r="D25" s="74" t="inlineStr">
        <is>
          <t>Wilcoxon p &lt; 0.05</t>
        </is>
      </c>
      <c r="E25" s="74" t="n">
        <v>0.89993</v>
      </c>
      <c r="F25" s="74" t="inlineStr"/>
      <c r="G25" s="74" t="inlineStr"/>
      <c r="H25" s="74" t="inlineStr"/>
      <c r="I25" s="74" t="inlineStr"/>
      <c r="J25" s="76"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2026-08-27T09:57:34Z</dcterms:created>
  <dcterms:modified xmlns:dcterms="http://purl.org/dc/terms/" xmlns:xsi="http://www.w3.org/2001/XMLSchema-instance" xsi:type="dcterms:W3CDTF">2026-09-05T13:46:36Z</dcterms:modified>
  <cp:revision>0</cp:revision>
</cp:coreProperties>
</file>